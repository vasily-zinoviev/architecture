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Допущения" sheetId="2" state="visible" r:id="rId4"/>
    <sheet name="TC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<sst xmlns="http://schemas.openxmlformats.org/spreadsheetml/2006/main" count="238" uniqueCount="189">
  <si>
    <t xml:space="preserve">Модель TCO (Total Cost of Ownership) — кейс «WB Africa», горизонт 5 лет</t>
  </si>
  <si>
    <t xml:space="preserve">Зачем этот файл</t>
  </si>
  <si>
    <t xml:space="preserve">Задача</t>
  </si>
  <si>
    <t xml:space="preserve">Оценить полную стоимость владения выбранным архитектурным вариантом на 5 лет и использовать цифры как аргумент в ADR №1 («Выбор архитектурного стиля»).</t>
  </si>
  <si>
    <t xml:space="preserve">Как использовать</t>
  </si>
  <si>
    <t xml:space="preserve"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t>
  </si>
  <si>
    <t xml:space="preserve">Цветовая легенда</t>
  </si>
  <si>
    <t xml:space="preserve">Синий текст на жёлтом фоне</t>
  </si>
  <si>
    <t xml:space="preserve">Ячейки для заполнения. Только их и редактируем.</t>
  </si>
  <si>
    <t xml:space="preserve">Чёрный текст</t>
  </si>
  <si>
    <t xml:space="preserve">Формулы. Не трогаем — пересчитаются сами.</t>
  </si>
  <si>
    <t xml:space="preserve">Зелёный текст</t>
  </si>
  <si>
    <t xml:space="preserve">Ссылка на лист «Допущения».</t>
  </si>
  <si>
    <t xml:space="preserve">Порядок работы</t>
  </si>
  <si>
    <t xml:space="preserve">Шаг 1</t>
  </si>
  <si>
    <t xml:space="preserve">Лист «Допущения» → блок 1: вбить драйверы бизнеса по годам (активные пользователи, число заказов, средний чек). Из них считается GMV.</t>
  </si>
  <si>
    <t xml:space="preserve">Шаг 2</t>
  </si>
  <si>
    <t xml:space="preserve">Лист «Допущения» → блок 2: финансовые допущения (инфляция, рост ФОТ, ставка дисконтирования, резерв, целевой SLO).</t>
  </si>
  <si>
    <t xml:space="preserve">Шаг 3</t>
  </si>
  <si>
    <t xml:space="preserve"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t>
  </si>
  <si>
    <t xml:space="preserve">Шаг 4</t>
  </si>
  <si>
    <t xml:space="preserve"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t>
  </si>
  <si>
    <t xml:space="preserve">Шаг 5</t>
  </si>
  <si>
    <t xml:space="preserve">Посмотреть блок «Ключевые метрики» внизу листа «TCO»: итог за 5 лет, NPV, стоимость на заказ, проверку бюджета CFO ($9k/мес на облако).</t>
  </si>
  <si>
    <t xml:space="preserve">Что важно не забыть в этом кейсе</t>
  </si>
  <si>
    <t xml:space="preserve">Бюджет CFO</t>
  </si>
  <si>
    <t xml:space="preserve">$9 000/мес на облако на старте. Если Год 1 в блоке «Облачная инфраструктура» не проходит — это архитектурное решение, а не ошибка модели: опиши, что урезаешь.</t>
  </si>
  <si>
    <t xml:space="preserve">Цена простоя</t>
  </si>
  <si>
    <t xml:space="preserve">Инвестор оценивает минуту простоя в $12 000. Целевой SLO 99,99% = 52,6 мин/год ≈ $631k. Этот риск считается отдельным блоком — сравни его со стоимостью резервирования.</t>
  </si>
  <si>
    <t xml:space="preserve">Транзакционные расходы</t>
  </si>
  <si>
    <t xml:space="preserve"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t>
  </si>
  <si>
    <t xml:space="preserve">Сравнение вариантов</t>
  </si>
  <si>
    <t xml:space="preserve">Транзакционные расходы (блок 3) почти одинаковы для любой архитектуры — это pass-through от оборота. Варианты архитектуры сравнивай по блокам 1, 2, 4 и 6.</t>
  </si>
  <si>
    <t xml:space="preserve">Разовые затраты</t>
  </si>
  <si>
    <t xml:space="preserve">Комплаенс-аудит NDPR/POPIA, пентест, миграция — если статья возникает не каждый год, просто перезапиши формулу в нужной ячейке года числом (и покрась в синий).</t>
  </si>
  <si>
    <t xml:space="preserve">Люди</t>
  </si>
  <si>
    <t xml:space="preserve">ФОТ команды —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t>
  </si>
  <si>
    <t xml:space="preserve">Все числа в файле — примеры для демонстрации формата. Замени их своими оценками и укажи источник в колонке «Комментарий / источник».</t>
  </si>
  <si>
    <t xml:space="preserve">Допущения модели TCO — WB Africa</t>
  </si>
  <si>
    <t xml:space="preserve">Заполняются только ячейки с жёлтой заливкой. Все числа ниже — пример, заменить своими.</t>
  </si>
  <si>
    <t xml:space="preserve">1. Драйверы бизнеса — заполнить</t>
  </si>
  <si>
    <t xml:space="preserve">Показатель</t>
  </si>
  <si>
    <t xml:space="preserve">Год 1</t>
  </si>
  <si>
    <t xml:space="preserve">Год 2</t>
  </si>
  <si>
    <t xml:space="preserve">Год 3</t>
  </si>
  <si>
    <t xml:space="preserve">Год 4</t>
  </si>
  <si>
    <t xml:space="preserve">Год 5</t>
  </si>
  <si>
    <t xml:space="preserve">Комментарий / источник</t>
  </si>
  <si>
    <t xml:space="preserve">Активные пользователи (на конец года)</t>
  </si>
  <si>
    <t xml:space="preserve">Цель кейса: 1М+ пользователей к 12 месяцам, 5 стран</t>
  </si>
  <si>
    <t xml:space="preserve">Число заказов в год</t>
  </si>
  <si>
    <t xml:space="preserve">MVP: 100 продавцов, 5000 SKU. Оценка студента</t>
  </si>
  <si>
    <t xml:space="preserve">Средний чек (AOV), $</t>
  </si>
  <si>
    <t xml:space="preserve">Оценка студента по рынку (Jumia / Takealot)</t>
  </si>
  <si>
    <t xml:space="preserve">GMV, $ в год (расчёт)</t>
  </si>
  <si>
    <t xml:space="preserve">Расчёт: заказы × средний чек</t>
  </si>
  <si>
    <t xml:space="preserve">2. Финансовые допущения — заполнить</t>
  </si>
  <si>
    <t xml:space="preserve">Параметр</t>
  </si>
  <si>
    <t xml:space="preserve">Значение</t>
  </si>
  <si>
    <t xml:space="preserve">Инфляция затрат, % в год</t>
  </si>
  <si>
    <t xml:space="preserve">Применяется к статьям с драйвером «инфляция»</t>
  </si>
  <si>
    <t xml:space="preserve">Рост ФОТ, % в год</t>
  </si>
  <si>
    <t xml:space="preserve">Дефицит ИТ-специалистов на рынке — рост выше инфляции</t>
  </si>
  <si>
    <t xml:space="preserve">Ставка дисконтирования, % в год</t>
  </si>
  <si>
    <t xml:space="preserve">Для расчёта NPV затрат. Стартап, высокий риск</t>
  </si>
  <si>
    <t xml:space="preserve">Резерв на непредвиденное (contingency), %</t>
  </si>
  <si>
    <t xml:space="preserve">Надбавка к прямым затратам</t>
  </si>
  <si>
    <t xml:space="preserve">Бюджет CFO на облако, $/мес</t>
  </si>
  <si>
    <t xml:space="preserve">Ограничение из письма CFO</t>
  </si>
  <si>
    <t xml:space="preserve">Стоимость минуты простоя, $</t>
  </si>
  <si>
    <t xml:space="preserve">Оценка инвестора из условия кейса</t>
  </si>
  <si>
    <t xml:space="preserve">Целевой SLO (доступность), %</t>
  </si>
  <si>
    <t xml:space="preserve">Mission critical: 99,99% = 52,6 мин/год</t>
  </si>
  <si>
    <t xml:space="preserve">Учитывать стоимость простоя в TCO (1 — да, 0 — нет)</t>
  </si>
  <si>
    <t xml:space="preserve">Переключатель для сценарного анализа</t>
  </si>
  <si>
    <t xml:space="preserve">3. Индексы роста — расчёт, не редактировать</t>
  </si>
  <si>
    <t xml:space="preserve">Драйвер</t>
  </si>
  <si>
    <t xml:space="preserve">Как считается</t>
  </si>
  <si>
    <t xml:space="preserve">фикс</t>
  </si>
  <si>
    <t xml:space="preserve">Затраты не меняются по годам</t>
  </si>
  <si>
    <t xml:space="preserve">инфляция</t>
  </si>
  <si>
    <t xml:space="preserve">Год N = Год N-1 × (1 + инфляция)</t>
  </si>
  <si>
    <t xml:space="preserve">ФОТ</t>
  </si>
  <si>
    <t xml:space="preserve">Год N = Год N-1 × (1 + рост ФОТ)</t>
  </si>
  <si>
    <t xml:space="preserve">пользователи</t>
  </si>
  <si>
    <t xml:space="preserve">Пропорционально числу активных пользователей</t>
  </si>
  <si>
    <t xml:space="preserve">заказы</t>
  </si>
  <si>
    <t xml:space="preserve">Пропорционально числу заказов</t>
  </si>
  <si>
    <t xml:space="preserve">GMV</t>
  </si>
  <si>
    <t xml:space="preserve">Пропорционально обороту</t>
  </si>
  <si>
    <t xml:space="preserve">Драйвер «пользователи» — упрощение: облачные расходы редко растут строго линейно (есть эффект масштаба и обратный эффект — рост нагрузки на БД). При желании введи свой драйвер отдельной строкой в таблице индексов.</t>
  </si>
  <si>
    <t xml:space="preserve">TCO на 5 лет — WB Africa</t>
  </si>
  <si>
    <t xml:space="preserve">Заполняем колонки «Драйвер роста» и «База, $/год (Год 1)». Годы 1–5 считаются автоматически.</t>
  </si>
  <si>
    <t xml:space="preserve">Статья затрат</t>
  </si>
  <si>
    <t xml:space="preserve">Драйвер роста</t>
  </si>
  <si>
    <t xml:space="preserve">База, $/год (Год 1)</t>
  </si>
  <si>
    <t xml:space="preserve">Итого 5 лет</t>
  </si>
  <si>
    <t xml:space="preserve">Доля</t>
  </si>
  <si>
    <t xml:space="preserve">БЛОК 1. Облачная инфраструктура (OpEx)</t>
  </si>
  <si>
    <t xml:space="preserve">Compute: ноды / контейнеры / serverless</t>
  </si>
  <si>
    <t xml:space="preserve">AWS af-south-1, оценка по калькулятору</t>
  </si>
  <si>
    <t xml:space="preserve">Управляемые БД (PostgreSQL, реплики)</t>
  </si>
  <si>
    <t xml:space="preserve">Managed RDS + read replica</t>
  </si>
  <si>
    <t xml:space="preserve">Хранилище объектов и резервные копии</t>
  </si>
  <si>
    <t xml:space="preserve">Фото товаров, 5000 SKU на старте</t>
  </si>
  <si>
    <t xml:space="preserve">CDN и исходящий трафик</t>
  </si>
  <si>
    <t xml:space="preserve">70% трафика — мобильный 3G, картинки WebP</t>
  </si>
  <si>
    <t xml:space="preserve">Очереди / стриминг (Kafka, SQS)</t>
  </si>
  <si>
    <t xml:space="preserve">Асинхронные заказы и уведомления</t>
  </si>
  <si>
    <t xml:space="preserve">Резервный регион / DR</t>
  </si>
  <si>
    <t xml:space="preserve">Зависит от выбранной стратегии RTO/RPO</t>
  </si>
  <si>
    <t xml:space="preserve">Локальное размещение данных (NDPR, Нигерия)</t>
  </si>
  <si>
    <t xml:space="preserve">Локальный провайдер или партнёр — см. ADR №3</t>
  </si>
  <si>
    <t xml:space="preserve">Своя статья</t>
  </si>
  <si>
    <t xml:space="preserve">Итого по блоку</t>
  </si>
  <si>
    <t xml:space="preserve">БЛОК 2. Лицензии, SaaS и инструменты</t>
  </si>
  <si>
    <t xml:space="preserve">Observability (метрики, логи, трейсинг)</t>
  </si>
  <si>
    <t xml:space="preserve">Объём логов растёт с нагрузкой</t>
  </si>
  <si>
    <t xml:space="preserve">CI/CD, репозиторий, артефакты</t>
  </si>
  <si>
    <t xml:space="preserve">GitHub / GitLab, тарифы на команду</t>
  </si>
  <si>
    <t xml:space="preserve">Безопасность: WAF, секреты, антифрод</t>
  </si>
  <si>
    <t xml:space="preserve">Мошенничество на ПВЗ — риск из кейса</t>
  </si>
  <si>
    <t xml:space="preserve">WhatsApp Business API (подписка)</t>
  </si>
  <si>
    <t xml:space="preserve">Канал для продавцов без личного кабинета</t>
  </si>
  <si>
    <t xml:space="preserve">Прочее ПО и подписки</t>
  </si>
  <si>
    <t xml:space="preserve">Таск-трекер, дизайн, аналитика</t>
  </si>
  <si>
    <t xml:space="preserve">БЛОК 3. Транзакционные расходы (Buy / Partner)</t>
  </si>
  <si>
    <t xml:space="preserve">Комиссии платёжных провайдеров</t>
  </si>
  <si>
    <t xml:space="preserve">≈3% от GMV: M-Pesa (Кения), Flutterwave / Paystack (Нигерия)</t>
  </si>
  <si>
    <t xml:space="preserve">SMS-уведомления</t>
  </si>
  <si>
    <t xml:space="preserve">≈$0,04 за SMS × заказы</t>
  </si>
  <si>
    <t xml:space="preserve">WhatsApp-сообщения (за диалог)</t>
  </si>
  <si>
    <t xml:space="preserve">Тариф Meta за conversation</t>
  </si>
  <si>
    <t xml:space="preserve">Логистика: интеграции и комиссии партнёров</t>
  </si>
  <si>
    <t xml:space="preserve">Sendbox (Нигерия), Sendy (Кения)</t>
  </si>
  <si>
    <t xml:space="preserve">БЛОК 4. Команда (ФОТ)</t>
  </si>
  <si>
    <t xml:space="preserve">Разработка (FTE × годовая ставка)</t>
  </si>
  <si>
    <t xml:space="preserve">Например 6 FTE × $60k. Зависит от арх. варианта!</t>
  </si>
  <si>
    <t xml:space="preserve">DevOps / SRE</t>
  </si>
  <si>
    <t xml:space="preserve">Микросервисы требуют больше SRE, чем монолит</t>
  </si>
  <si>
    <t xml:space="preserve">Поддержка и дежурства 24/7</t>
  </si>
  <si>
    <t xml:space="preserve">Требование mission critical: дежурство ночью</t>
  </si>
  <si>
    <t xml:space="preserve">Архитектура и менеджмент</t>
  </si>
  <si>
    <t xml:space="preserve">Solution Architect, CTO-функция, PM</t>
  </si>
  <si>
    <t xml:space="preserve">БЛОК 5. Разовые затраты и комплаенс</t>
  </si>
  <si>
    <t xml:space="preserve">Юридический и комплаенс-аудит (NDPR, POPIA, KICA)</t>
  </si>
  <si>
    <t xml:space="preserve">Разовая статья — обнули лишние годы вручную</t>
  </si>
  <si>
    <t xml:space="preserve">Пентест и аудит безопасности</t>
  </si>
  <si>
    <t xml:space="preserve">Ежегодно, если mission critical</t>
  </si>
  <si>
    <t xml:space="preserve">Миграция данных и интеграции при запуске</t>
  </si>
  <si>
    <t xml:space="preserve">Разовая статья</t>
  </si>
  <si>
    <t xml:space="preserve">Обучение команды и найм</t>
  </si>
  <si>
    <t xml:space="preserve">Дефицит локальных ИТ-специалистов</t>
  </si>
  <si>
    <t xml:space="preserve">Резерв на непредвиденное (contingency)</t>
  </si>
  <si>
    <t xml:space="preserve">Расчёт: сумма блоков 1–5 × ставка резерва с листа «Допущения»</t>
  </si>
  <si>
    <t xml:space="preserve">ИТОГО прямые затраты (TCO без учёта простоев)</t>
  </si>
  <si>
    <t xml:space="preserve">БЛОК 6. Стоимость недоступности (риск)</t>
  </si>
  <si>
    <t xml:space="preserve">Ожидаемые потери из-за простоя при целевом SLO</t>
  </si>
  <si>
    <t xml:space="preserve">Расчёт: (1 − SLO) × 525 600 мин/год × стоимость минуты × переключатель. 525 600 — число минут в году</t>
  </si>
  <si>
    <t xml:space="preserve">ИТОГО TCO с учётом стоимости простоя</t>
  </si>
  <si>
    <t xml:space="preserve">Коэффициент дисконтирования</t>
  </si>
  <si>
    <t xml:space="preserve">Дисконтированный TCO (NPV затрат)</t>
  </si>
  <si>
    <t xml:space="preserve">Ключевые метрики</t>
  </si>
  <si>
    <t xml:space="preserve">TCO за 5 лет, прямые затраты</t>
  </si>
  <si>
    <t xml:space="preserve">Основная цифра для сравнения вариантов в ADR</t>
  </si>
  <si>
    <t xml:space="preserve">TCO за 5 лет с учётом простоя</t>
  </si>
  <si>
    <t xml:space="preserve">Показывает цену недоступности для mission critical</t>
  </si>
  <si>
    <t xml:space="preserve">NPV затрат за 5 лет</t>
  </si>
  <si>
    <t xml:space="preserve">Затраты, приведённые к сегодняшнему дню</t>
  </si>
  <si>
    <t xml:space="preserve">Средние затраты в год</t>
  </si>
  <si>
    <t xml:space="preserve">Ориентир для планирования бюджета</t>
  </si>
  <si>
    <t xml:space="preserve">Облако, $/мес в Год 1</t>
  </si>
  <si>
    <t xml:space="preserve">Сравнивается с лимитом CFO</t>
  </si>
  <si>
    <t xml:space="preserve">Проверка бюджета CFO на Год 1</t>
  </si>
  <si>
    <t xml:space="preserve">Если превышение — объясни в ADR, чем жертвуешь</t>
  </si>
  <si>
    <t xml:space="preserve">TCO на 1 заказ за 5 лет</t>
  </si>
  <si>
    <t xml:space="preserve">Юнит-экономика: сколько ИТ стоит в одном заказе</t>
  </si>
  <si>
    <t xml:space="preserve">TCO на 1 активного пользователя (Год 5)</t>
  </si>
  <si>
    <t xml:space="preserve">Проверка масштабируемости модели</t>
  </si>
  <si>
    <t xml:space="preserve">Затраты ИТ как доля GMV за 5 лет</t>
  </si>
  <si>
    <t xml:space="preserve">Здоровый маркетплейс — единицы процентов</t>
  </si>
  <si>
    <t xml:space="preserve">Доля облачной инфраструктуры в TCO</t>
  </si>
  <si>
    <t xml:space="preserve">Обычно меньше, чем ожидают студенты</t>
  </si>
  <si>
    <t xml:space="preserve">Доля транзакционных расходов в TCO</t>
  </si>
  <si>
    <t xml:space="preserve">Растёт быстрее всего вместе с GMV</t>
  </si>
  <si>
    <t xml:space="preserve">Доля команды (ФОТ) в TCO</t>
  </si>
  <si>
    <t xml:space="preserve">Как правило, крупнейшая статья</t>
  </si>
  <si>
    <t xml:space="preserve">Вывод для ADR (заполнить текстом): какой вариант дешевле, за счёт чего, и какие допущения сильнее всего влияют на результат?</t>
  </si>
  <si>
    <t xml:space="preserve">Например: вариант «модульный монолит» дешевле на 5 лет за счёт меньшего ФОТ и SRE, но при росте выше 3М пользователей разрыв сокращается — точка пересмотра решения (см. ADR №1).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</si>
</sst>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$#,##0.00;&quot;($&quot;#,##0.00\);\-"/>
    <numFmt numFmtId="167" formatCode="\$#,##0;&quot;($&quot;#,##0\);\-"/>
    <numFmt numFmtId="168" formatCode="0.0%"/>
    <numFmt numFmtId="169" formatCode="0.000%"/>
    <numFmt numFmtId="170" formatCode="0"/>
    <numFmt numFmtId="171" formatCode="0.00"/>
    <numFmt numFmtId="172" formatCode="0.000"/>
    <numFmt numFmtId="173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FFFF99"/>
        <bgColor rgb="FFFCE4D6"/>
      </patternFill>
    </fill>
    <fill>
      <patternFill patternType="solid">
        <fgColor rgb="FFEDEDED"/>
        <bgColor rgb="FFFCE4D6"/>
      </patternFill>
    </fill>
    <fill>
      <patternFill patternType="solid">
        <fgColor rgb="FFFCE4D6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7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  <c r="C3" s="3"/>
    </row>
    <row r="4" customFormat="false" ht="15" hidden="false" customHeight="false" outlineLevel="0" collapsed="false">
      <c r="B4" s="4" t="s">
        <v>1</v>
      </c>
      <c r="C4" s="5"/>
    </row>
    <row r="5" customFormat="false" ht="30" hidden="false" customHeight="true" outlineLevel="0" collapsed="false">
      <c r="B5" s="2" t="s">
        <v>2</v>
      </c>
      <c r="C5" s="3" t="s">
        <v>3</v>
      </c>
    </row>
    <row r="6" customFormat="false" ht="30" hidden="false" customHeight="true" outlineLevel="0" collapsed="false">
      <c r="B6" s="2" t="s">
        <v>4</v>
      </c>
      <c r="C6" s="3" t="s">
        <v>5</v>
      </c>
    </row>
    <row r="7" customFormat="false" ht="15" hidden="false" customHeight="false" outlineLevel="0" collapsed="false">
      <c r="B7" s="2"/>
      <c r="C7" s="3"/>
    </row>
    <row r="8" customFormat="false" ht="15" hidden="false" customHeight="false" outlineLevel="0" collapsed="false">
      <c r="B8" s="4" t="s">
        <v>6</v>
      </c>
      <c r="C8" s="5"/>
    </row>
    <row r="9" customFormat="false" ht="15" hidden="false" customHeight="false" outlineLevel="0" collapsed="false">
      <c r="B9" s="2" t="s">
        <v>7</v>
      </c>
      <c r="C9" s="3" t="s">
        <v>8</v>
      </c>
    </row>
    <row r="10" customFormat="false" ht="15" hidden="false" customHeight="false" outlineLevel="0" collapsed="false">
      <c r="B10" s="2" t="s">
        <v>9</v>
      </c>
      <c r="C10" s="3" t="s">
        <v>10</v>
      </c>
    </row>
    <row r="11" customFormat="false" ht="15" hidden="false" customHeight="false" outlineLevel="0" collapsed="false">
      <c r="B11" s="2" t="s">
        <v>11</v>
      </c>
      <c r="C11" s="3" t="s">
        <v>12</v>
      </c>
    </row>
    <row r="12" customFormat="false" ht="15" hidden="false" customHeight="false" outlineLevel="0" collapsed="false">
      <c r="B12" s="2"/>
      <c r="C12" s="3"/>
    </row>
    <row r="13" customFormat="false" ht="15" hidden="false" customHeight="false" outlineLevel="0" collapsed="false">
      <c r="B13" s="4" t="s">
        <v>13</v>
      </c>
      <c r="C13" s="5"/>
    </row>
    <row r="14" customFormat="false" ht="30" hidden="false" customHeight="true" outlineLevel="0" collapsed="false">
      <c r="B14" s="2" t="s">
        <v>14</v>
      </c>
      <c r="C14" s="3" t="s">
        <v>15</v>
      </c>
    </row>
    <row r="15" customFormat="false" ht="30" hidden="false" customHeight="true" outlineLevel="0" collapsed="false">
      <c r="B15" s="2" t="s">
        <v>16</v>
      </c>
      <c r="C15" s="3" t="s">
        <v>17</v>
      </c>
    </row>
    <row r="16" customFormat="false" ht="30" hidden="false" customHeight="true" outlineLevel="0" collapsed="false">
      <c r="B16" s="2" t="s">
        <v>18</v>
      </c>
      <c r="C16" s="3" t="s">
        <v>19</v>
      </c>
    </row>
    <row r="17" customFormat="false" ht="30" hidden="false" customHeight="true" outlineLevel="0" collapsed="false">
      <c r="B17" s="2" t="s">
        <v>20</v>
      </c>
      <c r="C17" s="3" t="s">
        <v>21</v>
      </c>
    </row>
    <row r="18" customFormat="false" ht="30" hidden="false" customHeight="true" outlineLevel="0" collapsed="false">
      <c r="B18" s="2" t="s">
        <v>22</v>
      </c>
      <c r="C18" s="3" t="s">
        <v>23</v>
      </c>
    </row>
    <row r="19" customFormat="false" ht="15" hidden="false" customHeight="false" outlineLevel="0" collapsed="false">
      <c r="B19" s="2"/>
      <c r="C19" s="3"/>
    </row>
    <row r="20" customFormat="false" ht="15" hidden="false" customHeight="false" outlineLevel="0" collapsed="false">
      <c r="B20" s="4" t="s">
        <v>24</v>
      </c>
      <c r="C20" s="5"/>
    </row>
    <row r="21" customFormat="false" ht="30" hidden="false" customHeight="true" outlineLevel="0" collapsed="false">
      <c r="B21" s="2" t="s">
        <v>25</v>
      </c>
      <c r="C21" s="3" t="s">
        <v>26</v>
      </c>
    </row>
    <row r="22" customFormat="false" ht="30" hidden="false" customHeight="true" outlineLevel="0" collapsed="false">
      <c r="B22" s="2" t="s">
        <v>27</v>
      </c>
      <c r="C22" s="3" t="s">
        <v>28</v>
      </c>
    </row>
    <row r="23" customFormat="false" ht="30" hidden="false" customHeight="true" outlineLevel="0" collapsed="false">
      <c r="B23" s="2" t="s">
        <v>29</v>
      </c>
      <c r="C23" s="3" t="s">
        <v>30</v>
      </c>
    </row>
    <row r="24" customFormat="false" ht="30" hidden="false" customHeight="true" outlineLevel="0" collapsed="false">
      <c r="B24" s="2" t="s">
        <v>31</v>
      </c>
      <c r="C24" s="3" t="s">
        <v>32</v>
      </c>
    </row>
    <row r="25" customFormat="false" ht="30" hidden="false" customHeight="true" outlineLevel="0" collapsed="false">
      <c r="B25" s="2" t="s">
        <v>33</v>
      </c>
      <c r="C25" s="3" t="s">
        <v>34</v>
      </c>
    </row>
    <row r="26" customFormat="false" ht="30" hidden="false" customHeight="true" outlineLevel="0" collapsed="false">
      <c r="B26" s="2" t="s">
        <v>35</v>
      </c>
      <c r="C26" s="3" t="s">
        <v>36</v>
      </c>
    </row>
    <row r="27" customFormat="false" ht="15" hidden="false" customHeight="false" outlineLevel="0" collapsed="false">
      <c r="B27" s="2"/>
      <c r="C27" s="3"/>
    </row>
    <row r="28" customFormat="false" ht="30" hidden="false" customHeight="true" outlineLevel="0" collapsed="false">
      <c r="B28" s="6" t="s">
        <v>37</v>
      </c>
      <c r="C28" s="6"/>
    </row>
  </sheetData>
  <mergeCells count="1"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5"/>
    <col collapsed="false" customWidth="true" hidden="false" outlineLevel="0" max="8" min="8" style="0" width="52"/>
  </cols>
  <sheetData>
    <row r="2" customFormat="false" ht="17.35" hidden="false" customHeight="false" outlineLevel="0" collapsed="false">
      <c r="B2" s="1" t="s">
        <v>38</v>
      </c>
    </row>
    <row r="3" customFormat="false" ht="15" hidden="false" customHeight="false" outlineLevel="0" collapsed="false">
      <c r="B3" s="7" t="s">
        <v>39</v>
      </c>
    </row>
    <row r="5" customFormat="false" ht="15" hidden="false" customHeight="false" outlineLevel="0" collapsed="false">
      <c r="B5" s="8" t="s">
        <v>40</v>
      </c>
      <c r="C5" s="9"/>
      <c r="D5" s="9"/>
      <c r="E5" s="9"/>
      <c r="F5" s="9"/>
      <c r="G5" s="9"/>
      <c r="H5" s="9"/>
    </row>
    <row r="6" customFormat="false" ht="15" hidden="false" customHeight="false" outlineLevel="0" collapsed="false">
      <c r="B6" s="10" t="s">
        <v>41</v>
      </c>
      <c r="C6" s="10" t="s">
        <v>42</v>
      </c>
      <c r="D6" s="10" t="s">
        <v>43</v>
      </c>
      <c r="E6" s="10" t="s">
        <v>44</v>
      </c>
      <c r="F6" s="10" t="s">
        <v>45</v>
      </c>
      <c r="G6" s="10" t="s">
        <v>46</v>
      </c>
      <c r="H6" s="10" t="s">
        <v>47</v>
      </c>
    </row>
    <row r="7" customFormat="false" ht="15" hidden="false" customHeight="false" outlineLevel="0" collapsed="false">
      <c r="B7" s="11" t="s">
        <v>48</v>
      </c>
      <c r="C7" s="12" t="n">
        <v>150000</v>
      </c>
      <c r="D7" s="12" t="n">
        <v>600000</v>
      </c>
      <c r="E7" s="12" t="n">
        <v>1500000</v>
      </c>
      <c r="F7" s="12" t="n">
        <v>2500000</v>
      </c>
      <c r="G7" s="12" t="n">
        <v>3500000</v>
      </c>
      <c r="H7" s="13" t="s">
        <v>49</v>
      </c>
    </row>
    <row r="8" customFormat="false" ht="15" hidden="false" customHeight="false" outlineLevel="0" collapsed="false">
      <c r="B8" s="11" t="s">
        <v>50</v>
      </c>
      <c r="C8" s="12" t="n">
        <v>300000</v>
      </c>
      <c r="D8" s="12" t="n">
        <v>1800000</v>
      </c>
      <c r="E8" s="12" t="n">
        <v>6000000</v>
      </c>
      <c r="F8" s="12" t="n">
        <v>12000000</v>
      </c>
      <c r="G8" s="12" t="n">
        <v>18000000</v>
      </c>
      <c r="H8" s="13" t="s">
        <v>51</v>
      </c>
    </row>
    <row r="9" customFormat="false" ht="15" hidden="false" customHeight="false" outlineLevel="0" collapsed="false">
      <c r="B9" s="11" t="s">
        <v>52</v>
      </c>
      <c r="C9" s="14" t="n">
        <v>25</v>
      </c>
      <c r="D9" s="14" t="n">
        <v>26</v>
      </c>
      <c r="E9" s="14" t="n">
        <v>27</v>
      </c>
      <c r="F9" s="14" t="n">
        <v>28</v>
      </c>
      <c r="G9" s="14" t="n">
        <v>29</v>
      </c>
      <c r="H9" s="13" t="s">
        <v>53</v>
      </c>
    </row>
    <row r="10" customFormat="false" ht="15" hidden="false" customHeight="false" outlineLevel="0" collapsed="false">
      <c r="B10" s="15" t="s">
        <v>54</v>
      </c>
      <c r="C10" s="16" t="n">
        <f aca="false">C8*C9</f>
        <v>7500000</v>
      </c>
      <c r="D10" s="16" t="n">
        <f aca="false">D8*D9</f>
        <v>46800000</v>
      </c>
      <c r="E10" s="16" t="n">
        <f aca="false">E8*E9</f>
        <v>162000000</v>
      </c>
      <c r="F10" s="16" t="n">
        <f aca="false">F8*F9</f>
        <v>336000000</v>
      </c>
      <c r="G10" s="16" t="n">
        <f aca="false">G8*G9</f>
        <v>522000000</v>
      </c>
      <c r="H10" s="13" t="s">
        <v>55</v>
      </c>
    </row>
    <row r="12" customFormat="false" ht="15" hidden="false" customHeight="false" outlineLevel="0" collapsed="false">
      <c r="B12" s="8" t="s">
        <v>56</v>
      </c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B13" s="10" t="s">
        <v>57</v>
      </c>
      <c r="C13" s="10" t="s">
        <v>58</v>
      </c>
      <c r="D13" s="10"/>
      <c r="E13" s="10"/>
      <c r="F13" s="10"/>
      <c r="G13" s="10"/>
      <c r="H13" s="10" t="s">
        <v>47</v>
      </c>
    </row>
    <row r="14" customFormat="false" ht="15" hidden="false" customHeight="false" outlineLevel="0" collapsed="false">
      <c r="B14" s="11" t="s">
        <v>59</v>
      </c>
      <c r="C14" s="17" t="n">
        <v>0.08</v>
      </c>
      <c r="H14" s="13" t="s">
        <v>60</v>
      </c>
    </row>
    <row r="15" customFormat="false" ht="15" hidden="false" customHeight="false" outlineLevel="0" collapsed="false">
      <c r="B15" s="11" t="s">
        <v>61</v>
      </c>
      <c r="C15" s="17" t="n">
        <v>0.12</v>
      </c>
      <c r="H15" s="13" t="s">
        <v>62</v>
      </c>
    </row>
    <row r="16" customFormat="false" ht="15" hidden="false" customHeight="false" outlineLevel="0" collapsed="false">
      <c r="B16" s="11" t="s">
        <v>63</v>
      </c>
      <c r="C16" s="17" t="n">
        <v>0.2</v>
      </c>
      <c r="H16" s="13" t="s">
        <v>64</v>
      </c>
    </row>
    <row r="17" customFormat="false" ht="15" hidden="false" customHeight="false" outlineLevel="0" collapsed="false">
      <c r="B17" s="11" t="s">
        <v>65</v>
      </c>
      <c r="C17" s="17" t="n">
        <v>0.15</v>
      </c>
      <c r="H17" s="13" t="s">
        <v>66</v>
      </c>
    </row>
    <row r="18" customFormat="false" ht="15" hidden="false" customHeight="false" outlineLevel="0" collapsed="false">
      <c r="B18" s="11" t="s">
        <v>67</v>
      </c>
      <c r="C18" s="18" t="n">
        <v>9000</v>
      </c>
      <c r="H18" s="13" t="s">
        <v>68</v>
      </c>
    </row>
    <row r="19" customFormat="false" ht="15" hidden="false" customHeight="false" outlineLevel="0" collapsed="false">
      <c r="B19" s="11" t="s">
        <v>69</v>
      </c>
      <c r="C19" s="18" t="n">
        <v>12000</v>
      </c>
      <c r="H19" s="13" t="s">
        <v>70</v>
      </c>
    </row>
    <row r="20" customFormat="false" ht="15" hidden="false" customHeight="false" outlineLevel="0" collapsed="false">
      <c r="B20" s="11" t="s">
        <v>71</v>
      </c>
      <c r="C20" s="19" t="n">
        <v>0.9999</v>
      </c>
      <c r="H20" s="13" t="s">
        <v>72</v>
      </c>
    </row>
    <row r="21" customFormat="false" ht="15" hidden="false" customHeight="false" outlineLevel="0" collapsed="false">
      <c r="B21" s="11" t="s">
        <v>73</v>
      </c>
      <c r="C21" s="20" t="n">
        <v>1</v>
      </c>
      <c r="H21" s="13" t="s">
        <v>74</v>
      </c>
    </row>
    <row r="23" customFormat="false" ht="15" hidden="false" customHeight="false" outlineLevel="0" collapsed="false">
      <c r="B23" s="8" t="s">
        <v>75</v>
      </c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B24" s="10" t="s">
        <v>76</v>
      </c>
      <c r="C24" s="10" t="s">
        <v>42</v>
      </c>
      <c r="D24" s="10" t="s">
        <v>43</v>
      </c>
      <c r="E24" s="10" t="s">
        <v>44</v>
      </c>
      <c r="F24" s="10" t="s">
        <v>45</v>
      </c>
      <c r="G24" s="10" t="s">
        <v>46</v>
      </c>
      <c r="H24" s="10" t="s">
        <v>77</v>
      </c>
    </row>
    <row r="25" customFormat="false" ht="15" hidden="false" customHeight="false" outlineLevel="0" collapsed="false">
      <c r="B25" s="11" t="s">
        <v>78</v>
      </c>
      <c r="C25" s="21" t="n">
        <v>1</v>
      </c>
      <c r="D25" s="21" t="n">
        <v>1</v>
      </c>
      <c r="E25" s="21" t="n">
        <v>1</v>
      </c>
      <c r="F25" s="21" t="n">
        <v>1</v>
      </c>
      <c r="G25" s="21" t="n">
        <v>1</v>
      </c>
      <c r="H25" s="13" t="s">
        <v>79</v>
      </c>
    </row>
    <row r="26" customFormat="false" ht="15" hidden="false" customHeight="false" outlineLevel="0" collapsed="false">
      <c r="B26" s="11" t="s">
        <v>80</v>
      </c>
      <c r="C26" s="21" t="n">
        <v>1</v>
      </c>
      <c r="D26" s="21" t="n">
        <f aca="false">C26*(1+$C$14)</f>
        <v>1.08</v>
      </c>
      <c r="E26" s="21" t="n">
        <f aca="false">D26*(1+$C$14)</f>
        <v>1.1664</v>
      </c>
      <c r="F26" s="21" t="n">
        <f aca="false">E26*(1+$C$14)</f>
        <v>1.259712</v>
      </c>
      <c r="G26" s="21" t="n">
        <f aca="false">F26*(1+$C$14)</f>
        <v>1.36048896</v>
      </c>
      <c r="H26" s="13" t="s">
        <v>81</v>
      </c>
    </row>
    <row r="27" customFormat="false" ht="15" hidden="false" customHeight="false" outlineLevel="0" collapsed="false">
      <c r="B27" s="11" t="s">
        <v>82</v>
      </c>
      <c r="C27" s="21" t="n">
        <v>1</v>
      </c>
      <c r="D27" s="21" t="n">
        <f aca="false">C27*(1+$C$15)</f>
        <v>1.12</v>
      </c>
      <c r="E27" s="21" t="n">
        <f aca="false">D27*(1+$C$15)</f>
        <v>1.2544</v>
      </c>
      <c r="F27" s="21" t="n">
        <f aca="false">E27*(1+$C$15)</f>
        <v>1.404928</v>
      </c>
      <c r="G27" s="21" t="n">
        <f aca="false">F27*(1+$C$15)</f>
        <v>1.57351936</v>
      </c>
      <c r="H27" s="13" t="s">
        <v>83</v>
      </c>
    </row>
    <row r="28" customFormat="false" ht="15" hidden="false" customHeight="false" outlineLevel="0" collapsed="false">
      <c r="B28" s="11" t="s">
        <v>84</v>
      </c>
      <c r="C28" s="21" t="n">
        <f aca="false">C7/$C$7</f>
        <v>1</v>
      </c>
      <c r="D28" s="21" t="n">
        <f aca="false">D7/$C$7</f>
        <v>4</v>
      </c>
      <c r="E28" s="21" t="n">
        <f aca="false">E7/$C$7</f>
        <v>10</v>
      </c>
      <c r="F28" s="21" t="n">
        <f aca="false">F7/$C$7</f>
        <v>16.6666666666667</v>
      </c>
      <c r="G28" s="21" t="n">
        <f aca="false">G7/$C$7</f>
        <v>23.3333333333333</v>
      </c>
      <c r="H28" s="13" t="s">
        <v>85</v>
      </c>
    </row>
    <row r="29" customFormat="false" ht="15" hidden="false" customHeight="false" outlineLevel="0" collapsed="false">
      <c r="B29" s="11" t="s">
        <v>86</v>
      </c>
      <c r="C29" s="21" t="n">
        <f aca="false">C8/$C$8</f>
        <v>1</v>
      </c>
      <c r="D29" s="21" t="n">
        <f aca="false">D8/$C$8</f>
        <v>6</v>
      </c>
      <c r="E29" s="21" t="n">
        <f aca="false">E8/$C$8</f>
        <v>20</v>
      </c>
      <c r="F29" s="21" t="n">
        <f aca="false">F8/$C$8</f>
        <v>40</v>
      </c>
      <c r="G29" s="21" t="n">
        <f aca="false">G8/$C$8</f>
        <v>60</v>
      </c>
      <c r="H29" s="13" t="s">
        <v>87</v>
      </c>
    </row>
    <row r="30" customFormat="false" ht="15" hidden="false" customHeight="false" outlineLevel="0" collapsed="false">
      <c r="B30" s="11" t="s">
        <v>88</v>
      </c>
      <c r="C30" s="21" t="n">
        <f aca="false">C10/$C$10</f>
        <v>1</v>
      </c>
      <c r="D30" s="21" t="n">
        <f aca="false">D10/$C$10</f>
        <v>6.24</v>
      </c>
      <c r="E30" s="21" t="n">
        <f aca="false">E10/$C$10</f>
        <v>21.6</v>
      </c>
      <c r="F30" s="21" t="n">
        <f aca="false">F10/$C$10</f>
        <v>44.8</v>
      </c>
      <c r="G30" s="21" t="n">
        <f aca="false">G10/$C$10</f>
        <v>69.6</v>
      </c>
      <c r="H30" s="13" t="s">
        <v>89</v>
      </c>
    </row>
    <row r="32" customFormat="false" ht="15" hidden="false" customHeight="true" outlineLevel="0" collapsed="false">
      <c r="B32" s="22" t="s">
        <v>90</v>
      </c>
      <c r="C32" s="22"/>
      <c r="D32" s="22"/>
      <c r="E32" s="22"/>
      <c r="F32" s="22"/>
      <c r="G32" s="22"/>
      <c r="H32" s="22"/>
    </row>
    <row r="33" customFormat="false" ht="15" hidden="false" customHeight="false" outlineLevel="0" collapsed="false">
      <c r="B33" s="22"/>
      <c r="C33" s="22"/>
      <c r="D33" s="22"/>
      <c r="E33" s="22"/>
      <c r="F33" s="22"/>
      <c r="G33" s="22"/>
      <c r="H33" s="22"/>
    </row>
  </sheetData>
  <mergeCells count="1">
    <mergeCell ref="B32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10" min="5" style="0" width="14"/>
    <col collapsed="false" customWidth="true" hidden="false" outlineLevel="0" max="11" min="11" style="0" width="10"/>
    <col collapsed="false" customWidth="true" hidden="false" outlineLevel="0" max="12" min="12" style="0" width="46"/>
  </cols>
  <sheetData>
    <row r="2" customFormat="false" ht="17.35" hidden="false" customHeight="false" outlineLevel="0" collapsed="false">
      <c r="B2" s="1" t="s">
        <v>91</v>
      </c>
    </row>
    <row r="3" customFormat="false" ht="15" hidden="false" customHeight="false" outlineLevel="0" collapsed="false">
      <c r="B3" s="7" t="s">
        <v>92</v>
      </c>
    </row>
    <row r="5" customFormat="false" ht="31.5" hidden="false" customHeight="true" outlineLevel="0" collapsed="false">
      <c r="B5" s="10" t="s">
        <v>93</v>
      </c>
      <c r="C5" s="10" t="s">
        <v>94</v>
      </c>
      <c r="D5" s="10" t="s">
        <v>95</v>
      </c>
      <c r="E5" s="10" t="s">
        <v>42</v>
      </c>
      <c r="F5" s="10" t="s">
        <v>43</v>
      </c>
      <c r="G5" s="10" t="s">
        <v>44</v>
      </c>
      <c r="H5" s="10" t="s">
        <v>45</v>
      </c>
      <c r="I5" s="10" t="s">
        <v>46</v>
      </c>
      <c r="J5" s="10" t="s">
        <v>96</v>
      </c>
      <c r="K5" s="10" t="s">
        <v>97</v>
      </c>
      <c r="L5" s="10" t="s">
        <v>47</v>
      </c>
    </row>
    <row r="6" customFormat="false" ht="15" hidden="false" customHeight="false" outlineLevel="0" collapsed="false">
      <c r="B6" s="8" t="s">
        <v>98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customFormat="false" ht="15" hidden="false" customHeight="false" outlineLevel="0" collapsed="false">
      <c r="B7" s="11" t="s">
        <v>99</v>
      </c>
      <c r="C7" s="23" t="s">
        <v>84</v>
      </c>
      <c r="D7" s="18" t="n">
        <v>30000</v>
      </c>
      <c r="E7" s="24" t="n">
        <f aca="false">IF($D7="","",$D7*INDEX(Допущения!$C$25:$G$30,MATCH($C7,Допущения!$B$25:$B$30,0),1))</f>
        <v>30000</v>
      </c>
      <c r="F7" s="24" t="n">
        <f aca="false">IF($D7="","",$D7*INDEX(Допущения!$C$25:$G$30,MATCH($C7,Допущения!$B$25:$B$30,0),2))</f>
        <v>120000</v>
      </c>
      <c r="G7" s="24" t="n">
        <f aca="false">IF($D7="","",$D7*INDEX(Допущения!$C$25:$G$30,MATCH($C7,Допущения!$B$25:$B$30,0),3))</f>
        <v>300000</v>
      </c>
      <c r="H7" s="24" t="n">
        <f aca="false">IF($D7="","",$D7*INDEX(Допущения!$C$25:$G$30,MATCH($C7,Допущения!$B$25:$B$30,0),4))</f>
        <v>500000</v>
      </c>
      <c r="I7" s="24" t="n">
        <f aca="false">IF($D7="","",$D7*INDEX(Допущения!$C$25:$G$30,MATCH($C7,Допущения!$B$25:$B$30,0),5))</f>
        <v>700000</v>
      </c>
      <c r="J7" s="24" t="n">
        <f aca="false">SUM(E7:I7)</f>
        <v>1650000</v>
      </c>
      <c r="K7" s="25"/>
      <c r="L7" s="26" t="s">
        <v>100</v>
      </c>
    </row>
    <row r="8" customFormat="false" ht="15" hidden="false" customHeight="false" outlineLevel="0" collapsed="false">
      <c r="B8" s="11" t="s">
        <v>101</v>
      </c>
      <c r="C8" s="23" t="s">
        <v>84</v>
      </c>
      <c r="D8" s="18" t="n">
        <v>18000</v>
      </c>
      <c r="E8" s="24" t="n">
        <f aca="false">IF($D8="","",$D8*INDEX(Допущения!$C$25:$G$30,MATCH($C8,Допущения!$B$25:$B$30,0),1))</f>
        <v>18000</v>
      </c>
      <c r="F8" s="24" t="n">
        <f aca="false">IF($D8="","",$D8*INDEX(Допущения!$C$25:$G$30,MATCH($C8,Допущения!$B$25:$B$30,0),2))</f>
        <v>72000</v>
      </c>
      <c r="G8" s="24" t="n">
        <f aca="false">IF($D8="","",$D8*INDEX(Допущения!$C$25:$G$30,MATCH($C8,Допущения!$B$25:$B$30,0),3))</f>
        <v>180000</v>
      </c>
      <c r="H8" s="24" t="n">
        <f aca="false">IF($D8="","",$D8*INDEX(Допущения!$C$25:$G$30,MATCH($C8,Допущения!$B$25:$B$30,0),4))</f>
        <v>300000</v>
      </c>
      <c r="I8" s="24" t="n">
        <f aca="false">IF($D8="","",$D8*INDEX(Допущения!$C$25:$G$30,MATCH($C8,Допущения!$B$25:$B$30,0),5))</f>
        <v>420000</v>
      </c>
      <c r="J8" s="24" t="n">
        <f aca="false">SUM(E8:I8)</f>
        <v>990000</v>
      </c>
      <c r="K8" s="25"/>
      <c r="L8" s="26" t="s">
        <v>102</v>
      </c>
    </row>
    <row r="9" customFormat="false" ht="15" hidden="false" customHeight="false" outlineLevel="0" collapsed="false">
      <c r="B9" s="11" t="s">
        <v>103</v>
      </c>
      <c r="C9" s="23" t="s">
        <v>84</v>
      </c>
      <c r="D9" s="18" t="n">
        <v>6000</v>
      </c>
      <c r="E9" s="24" t="n">
        <f aca="false">IF($D9="","",$D9*INDEX(Допущения!$C$25:$G$30,MATCH($C9,Допущения!$B$25:$B$30,0),1))</f>
        <v>6000</v>
      </c>
      <c r="F9" s="24" t="n">
        <f aca="false">IF($D9="","",$D9*INDEX(Допущения!$C$25:$G$30,MATCH($C9,Допущения!$B$25:$B$30,0),2))</f>
        <v>24000</v>
      </c>
      <c r="G9" s="24" t="n">
        <f aca="false">IF($D9="","",$D9*INDEX(Допущения!$C$25:$G$30,MATCH($C9,Допущения!$B$25:$B$30,0),3))</f>
        <v>60000</v>
      </c>
      <c r="H9" s="24" t="n">
        <f aca="false">IF($D9="","",$D9*INDEX(Допущения!$C$25:$G$30,MATCH($C9,Допущения!$B$25:$B$30,0),4))</f>
        <v>100000</v>
      </c>
      <c r="I9" s="24" t="n">
        <f aca="false">IF($D9="","",$D9*INDEX(Допущения!$C$25:$G$30,MATCH($C9,Допущения!$B$25:$B$30,0),5))</f>
        <v>140000</v>
      </c>
      <c r="J9" s="24" t="n">
        <f aca="false">SUM(E9:I9)</f>
        <v>330000</v>
      </c>
      <c r="K9" s="25"/>
      <c r="L9" s="26" t="s">
        <v>104</v>
      </c>
    </row>
    <row r="10" customFormat="false" ht="15" hidden="false" customHeight="false" outlineLevel="0" collapsed="false">
      <c r="B10" s="11" t="s">
        <v>105</v>
      </c>
      <c r="C10" s="23" t="s">
        <v>84</v>
      </c>
      <c r="D10" s="18" t="n">
        <v>15000</v>
      </c>
      <c r="E10" s="24" t="n">
        <f aca="false">IF($D10="","",$D10*INDEX(Допущения!$C$25:$G$30,MATCH($C10,Допущения!$B$25:$B$30,0),1))</f>
        <v>15000</v>
      </c>
      <c r="F10" s="24" t="n">
        <f aca="false">IF($D10="","",$D10*INDEX(Допущения!$C$25:$G$30,MATCH($C10,Допущения!$B$25:$B$30,0),2))</f>
        <v>60000</v>
      </c>
      <c r="G10" s="24" t="n">
        <f aca="false">IF($D10="","",$D10*INDEX(Допущения!$C$25:$G$30,MATCH($C10,Допущения!$B$25:$B$30,0),3))</f>
        <v>150000</v>
      </c>
      <c r="H10" s="24" t="n">
        <f aca="false">IF($D10="","",$D10*INDEX(Допущения!$C$25:$G$30,MATCH($C10,Допущения!$B$25:$B$30,0),4))</f>
        <v>250000</v>
      </c>
      <c r="I10" s="24" t="n">
        <f aca="false">IF($D10="","",$D10*INDEX(Допущения!$C$25:$G$30,MATCH($C10,Допущения!$B$25:$B$30,0),5))</f>
        <v>350000</v>
      </c>
      <c r="J10" s="24" t="n">
        <f aca="false">SUM(E10:I10)</f>
        <v>825000</v>
      </c>
      <c r="K10" s="25"/>
      <c r="L10" s="26" t="s">
        <v>106</v>
      </c>
    </row>
    <row r="11" customFormat="false" ht="15" hidden="false" customHeight="false" outlineLevel="0" collapsed="false">
      <c r="B11" s="11" t="s">
        <v>107</v>
      </c>
      <c r="C11" s="23" t="s">
        <v>84</v>
      </c>
      <c r="D11" s="18" t="n">
        <v>6000</v>
      </c>
      <c r="E11" s="24" t="n">
        <f aca="false">IF($D11="","",$D11*INDEX(Допущения!$C$25:$G$30,MATCH($C11,Допущения!$B$25:$B$30,0),1))</f>
        <v>6000</v>
      </c>
      <c r="F11" s="24" t="n">
        <f aca="false">IF($D11="","",$D11*INDEX(Допущения!$C$25:$G$30,MATCH($C11,Допущения!$B$25:$B$30,0),2))</f>
        <v>24000</v>
      </c>
      <c r="G11" s="24" t="n">
        <f aca="false">IF($D11="","",$D11*INDEX(Допущения!$C$25:$G$30,MATCH($C11,Допущения!$B$25:$B$30,0),3))</f>
        <v>60000</v>
      </c>
      <c r="H11" s="24" t="n">
        <f aca="false">IF($D11="","",$D11*INDEX(Допущения!$C$25:$G$30,MATCH($C11,Допущения!$B$25:$B$30,0),4))</f>
        <v>100000</v>
      </c>
      <c r="I11" s="24" t="n">
        <f aca="false">IF($D11="","",$D11*INDEX(Допущения!$C$25:$G$30,MATCH($C11,Допущения!$B$25:$B$30,0),5))</f>
        <v>140000</v>
      </c>
      <c r="J11" s="24" t="n">
        <f aca="false">SUM(E11:I11)</f>
        <v>330000</v>
      </c>
      <c r="K11" s="25"/>
      <c r="L11" s="26" t="s">
        <v>108</v>
      </c>
    </row>
    <row r="12" customFormat="false" ht="15" hidden="false" customHeight="false" outlineLevel="0" collapsed="false">
      <c r="B12" s="11" t="s">
        <v>109</v>
      </c>
      <c r="C12" s="23" t="s">
        <v>84</v>
      </c>
      <c r="D12" s="18" t="n">
        <v>12000</v>
      </c>
      <c r="E12" s="24" t="n">
        <f aca="false">IF($D12="","",$D12*INDEX(Допущения!$C$25:$G$30,MATCH($C12,Допущения!$B$25:$B$30,0),1))</f>
        <v>12000</v>
      </c>
      <c r="F12" s="24" t="n">
        <f aca="false">IF($D12="","",$D12*INDEX(Допущения!$C$25:$G$30,MATCH($C12,Допущения!$B$25:$B$30,0),2))</f>
        <v>48000</v>
      </c>
      <c r="G12" s="24" t="n">
        <f aca="false">IF($D12="","",$D12*INDEX(Допущения!$C$25:$G$30,MATCH($C12,Допущения!$B$25:$B$30,0),3))</f>
        <v>120000</v>
      </c>
      <c r="H12" s="24" t="n">
        <f aca="false">IF($D12="","",$D12*INDEX(Допущения!$C$25:$G$30,MATCH($C12,Допущения!$B$25:$B$30,0),4))</f>
        <v>200000</v>
      </c>
      <c r="I12" s="24" t="n">
        <f aca="false">IF($D12="","",$D12*INDEX(Допущения!$C$25:$G$30,MATCH($C12,Допущения!$B$25:$B$30,0),5))</f>
        <v>280000</v>
      </c>
      <c r="J12" s="24" t="n">
        <f aca="false">SUM(E12:I12)</f>
        <v>660000</v>
      </c>
      <c r="K12" s="25"/>
      <c r="L12" s="26" t="s">
        <v>110</v>
      </c>
    </row>
    <row r="13" customFormat="false" ht="15" hidden="false" customHeight="false" outlineLevel="0" collapsed="false">
      <c r="B13" s="11" t="s">
        <v>111</v>
      </c>
      <c r="C13" s="23" t="s">
        <v>80</v>
      </c>
      <c r="D13" s="18" t="n">
        <v>18000</v>
      </c>
      <c r="E13" s="24" t="n">
        <f aca="false">IF($D13="","",$D13*INDEX(Допущения!$C$25:$G$30,MATCH($C13,Допущения!$B$25:$B$30,0),1))</f>
        <v>18000</v>
      </c>
      <c r="F13" s="24" t="n">
        <f aca="false">IF($D13="","",$D13*INDEX(Допущения!$C$25:$G$30,MATCH($C13,Допущения!$B$25:$B$30,0),2))</f>
        <v>19440</v>
      </c>
      <c r="G13" s="24" t="n">
        <f aca="false">IF($D13="","",$D13*INDEX(Допущения!$C$25:$G$30,MATCH($C13,Допущения!$B$25:$B$30,0),3))</f>
        <v>20995.2</v>
      </c>
      <c r="H13" s="24" t="n">
        <f aca="false">IF($D13="","",$D13*INDEX(Допущения!$C$25:$G$30,MATCH($C13,Допущения!$B$25:$B$30,0),4))</f>
        <v>22674.816</v>
      </c>
      <c r="I13" s="24" t="n">
        <f aca="false">IF($D13="","",$D13*INDEX(Допущения!$C$25:$G$30,MATCH($C13,Допущения!$B$25:$B$30,0),5))</f>
        <v>24488.80128</v>
      </c>
      <c r="J13" s="24" t="n">
        <f aca="false">SUM(E13:I13)</f>
        <v>105598.81728</v>
      </c>
      <c r="K13" s="25"/>
      <c r="L13" s="26" t="s">
        <v>112</v>
      </c>
    </row>
    <row r="14" customFormat="false" ht="15" hidden="false" customHeight="false" outlineLevel="0" collapsed="false">
      <c r="B14" s="11"/>
      <c r="C14" s="23" t="s">
        <v>78</v>
      </c>
      <c r="D14" s="18"/>
      <c r="E14" s="24" t="str">
        <f aca="false">IF($D14="","",$D14*INDEX(Допущения!$C$25:$G$30,MATCH($C14,Допущения!$B$25:$B$30,0),1))</f>
        <v/>
      </c>
      <c r="F14" s="24" t="str">
        <f aca="false">IF($D14="","",$D14*INDEX(Допущения!$C$25:$G$30,MATCH($C14,Допущения!$B$25:$B$30,0),2))</f>
        <v/>
      </c>
      <c r="G14" s="24" t="str">
        <f aca="false">IF($D14="","",$D14*INDEX(Допущения!$C$25:$G$30,MATCH($C14,Допущения!$B$25:$B$30,0),3))</f>
        <v/>
      </c>
      <c r="H14" s="24" t="str">
        <f aca="false">IF($D14="","",$D14*INDEX(Допущения!$C$25:$G$30,MATCH($C14,Допущения!$B$25:$B$30,0),4))</f>
        <v/>
      </c>
      <c r="I14" s="24" t="str">
        <f aca="false">IF($D14="","",$D14*INDEX(Допущения!$C$25:$G$30,MATCH($C14,Допущения!$B$25:$B$30,0),5))</f>
        <v/>
      </c>
      <c r="J14" s="24" t="n">
        <f aca="false">SUM(E14:I14)</f>
        <v>0</v>
      </c>
      <c r="K14" s="25"/>
      <c r="L14" s="26" t="s">
        <v>113</v>
      </c>
    </row>
    <row r="15" customFormat="false" ht="15" hidden="false" customHeight="false" outlineLevel="0" collapsed="false">
      <c r="B15" s="27" t="s">
        <v>114</v>
      </c>
      <c r="C15" s="28"/>
      <c r="D15" s="28"/>
      <c r="E15" s="29" t="n">
        <f aca="false">SUM(E7:E14)</f>
        <v>105000</v>
      </c>
      <c r="F15" s="29" t="n">
        <f aca="false">SUM(F7:F14)</f>
        <v>367440</v>
      </c>
      <c r="G15" s="29" t="n">
        <f aca="false">SUM(G7:G14)</f>
        <v>890995.2</v>
      </c>
      <c r="H15" s="29" t="n">
        <f aca="false">SUM(H7:H14)</f>
        <v>1472674.816</v>
      </c>
      <c r="I15" s="29" t="n">
        <f aca="false">SUM(I7:I14)</f>
        <v>2054488.80128</v>
      </c>
      <c r="J15" s="29" t="n">
        <f aca="false">SUM(J7:J14)</f>
        <v>4890598.81728</v>
      </c>
      <c r="K15" s="30" t="n">
        <f aca="false">IFERROR(J15/$J$51,0)</f>
        <v>0.0856428586799604</v>
      </c>
      <c r="L15" s="28"/>
    </row>
    <row r="17" customFormat="false" ht="15" hidden="false" customHeight="false" outlineLevel="0" collapsed="false">
      <c r="B17" s="8" t="s">
        <v>115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false" outlineLevel="0" collapsed="false">
      <c r="B18" s="11" t="s">
        <v>116</v>
      </c>
      <c r="C18" s="23" t="s">
        <v>84</v>
      </c>
      <c r="D18" s="18" t="n">
        <v>9000</v>
      </c>
      <c r="E18" s="24" t="n">
        <f aca="false">IF($D18="","",$D18*INDEX(Допущения!$C$25:$G$30,MATCH($C18,Допущения!$B$25:$B$30,0),1))</f>
        <v>9000</v>
      </c>
      <c r="F18" s="24" t="n">
        <f aca="false">IF($D18="","",$D18*INDEX(Допущения!$C$25:$G$30,MATCH($C18,Допущения!$B$25:$B$30,0),2))</f>
        <v>36000</v>
      </c>
      <c r="G18" s="24" t="n">
        <f aca="false">IF($D18="","",$D18*INDEX(Допущения!$C$25:$G$30,MATCH($C18,Допущения!$B$25:$B$30,0),3))</f>
        <v>90000</v>
      </c>
      <c r="H18" s="24" t="n">
        <f aca="false">IF($D18="","",$D18*INDEX(Допущения!$C$25:$G$30,MATCH($C18,Допущения!$B$25:$B$30,0),4))</f>
        <v>150000</v>
      </c>
      <c r="I18" s="24" t="n">
        <f aca="false">IF($D18="","",$D18*INDEX(Допущения!$C$25:$G$30,MATCH($C18,Допущения!$B$25:$B$30,0),5))</f>
        <v>210000</v>
      </c>
      <c r="J18" s="24" t="n">
        <f aca="false">SUM(E18:I18)</f>
        <v>495000</v>
      </c>
      <c r="K18" s="25"/>
      <c r="L18" s="26" t="s">
        <v>117</v>
      </c>
    </row>
    <row r="19" customFormat="false" ht="15" hidden="false" customHeight="false" outlineLevel="0" collapsed="false">
      <c r="B19" s="11" t="s">
        <v>118</v>
      </c>
      <c r="C19" s="23" t="s">
        <v>80</v>
      </c>
      <c r="D19" s="18" t="n">
        <v>3600</v>
      </c>
      <c r="E19" s="24" t="n">
        <f aca="false">IF($D19="","",$D19*INDEX(Допущения!$C$25:$G$30,MATCH($C19,Допущения!$B$25:$B$30,0),1))</f>
        <v>3600</v>
      </c>
      <c r="F19" s="24" t="n">
        <f aca="false">IF($D19="","",$D19*INDEX(Допущения!$C$25:$G$30,MATCH($C19,Допущения!$B$25:$B$30,0),2))</f>
        <v>3888</v>
      </c>
      <c r="G19" s="24" t="n">
        <f aca="false">IF($D19="","",$D19*INDEX(Допущения!$C$25:$G$30,MATCH($C19,Допущения!$B$25:$B$30,0),3))</f>
        <v>4199.04</v>
      </c>
      <c r="H19" s="24" t="n">
        <f aca="false">IF($D19="","",$D19*INDEX(Допущения!$C$25:$G$30,MATCH($C19,Допущения!$B$25:$B$30,0),4))</f>
        <v>4534.9632</v>
      </c>
      <c r="I19" s="24" t="n">
        <f aca="false">IF($D19="","",$D19*INDEX(Допущения!$C$25:$G$30,MATCH($C19,Допущения!$B$25:$B$30,0),5))</f>
        <v>4897.760256</v>
      </c>
      <c r="J19" s="24" t="n">
        <f aca="false">SUM(E19:I19)</f>
        <v>21119.763456</v>
      </c>
      <c r="K19" s="25"/>
      <c r="L19" s="26" t="s">
        <v>119</v>
      </c>
    </row>
    <row r="20" customFormat="false" ht="15" hidden="false" customHeight="false" outlineLevel="0" collapsed="false">
      <c r="B20" s="11" t="s">
        <v>120</v>
      </c>
      <c r="C20" s="23" t="s">
        <v>84</v>
      </c>
      <c r="D20" s="18" t="n">
        <v>7200</v>
      </c>
      <c r="E20" s="24" t="n">
        <f aca="false">IF($D20="","",$D20*INDEX(Допущения!$C$25:$G$30,MATCH($C20,Допущения!$B$25:$B$30,0),1))</f>
        <v>7200</v>
      </c>
      <c r="F20" s="24" t="n">
        <f aca="false">IF($D20="","",$D20*INDEX(Допущения!$C$25:$G$30,MATCH($C20,Допущения!$B$25:$B$30,0),2))</f>
        <v>28800</v>
      </c>
      <c r="G20" s="24" t="n">
        <f aca="false">IF($D20="","",$D20*INDEX(Допущения!$C$25:$G$30,MATCH($C20,Допущения!$B$25:$B$30,0),3))</f>
        <v>72000</v>
      </c>
      <c r="H20" s="24" t="n">
        <f aca="false">IF($D20="","",$D20*INDEX(Допущения!$C$25:$G$30,MATCH($C20,Допущения!$B$25:$B$30,0),4))</f>
        <v>120000</v>
      </c>
      <c r="I20" s="24" t="n">
        <f aca="false">IF($D20="","",$D20*INDEX(Допущения!$C$25:$G$30,MATCH($C20,Допущения!$B$25:$B$30,0),5))</f>
        <v>168000</v>
      </c>
      <c r="J20" s="24" t="n">
        <f aca="false">SUM(E20:I20)</f>
        <v>396000</v>
      </c>
      <c r="K20" s="25"/>
      <c r="L20" s="26" t="s">
        <v>121</v>
      </c>
    </row>
    <row r="21" customFormat="false" ht="15" hidden="false" customHeight="false" outlineLevel="0" collapsed="false">
      <c r="B21" s="11" t="s">
        <v>122</v>
      </c>
      <c r="C21" s="23" t="s">
        <v>80</v>
      </c>
      <c r="D21" s="18" t="n">
        <v>3000</v>
      </c>
      <c r="E21" s="24" t="n">
        <f aca="false">IF($D21="","",$D21*INDEX(Допущения!$C$25:$G$30,MATCH($C21,Допущения!$B$25:$B$30,0),1))</f>
        <v>3000</v>
      </c>
      <c r="F21" s="24" t="n">
        <f aca="false">IF($D21="","",$D21*INDEX(Допущения!$C$25:$G$30,MATCH($C21,Допущения!$B$25:$B$30,0),2))</f>
        <v>3240</v>
      </c>
      <c r="G21" s="24" t="n">
        <f aca="false">IF($D21="","",$D21*INDEX(Допущения!$C$25:$G$30,MATCH($C21,Допущения!$B$25:$B$30,0),3))</f>
        <v>3499.2</v>
      </c>
      <c r="H21" s="24" t="n">
        <f aca="false">IF($D21="","",$D21*INDEX(Допущения!$C$25:$G$30,MATCH($C21,Допущения!$B$25:$B$30,0),4))</f>
        <v>3779.136</v>
      </c>
      <c r="I21" s="24" t="n">
        <f aca="false">IF($D21="","",$D21*INDEX(Допущения!$C$25:$G$30,MATCH($C21,Допущения!$B$25:$B$30,0),5))</f>
        <v>4081.46688</v>
      </c>
      <c r="J21" s="24" t="n">
        <f aca="false">SUM(E21:I21)</f>
        <v>17599.80288</v>
      </c>
      <c r="K21" s="25"/>
      <c r="L21" s="26" t="s">
        <v>123</v>
      </c>
    </row>
    <row r="22" customFormat="false" ht="15" hidden="false" customHeight="false" outlineLevel="0" collapsed="false">
      <c r="B22" s="11" t="s">
        <v>124</v>
      </c>
      <c r="C22" s="23" t="s">
        <v>80</v>
      </c>
      <c r="D22" s="18" t="n">
        <v>2400</v>
      </c>
      <c r="E22" s="24" t="n">
        <f aca="false">IF($D22="","",$D22*INDEX(Допущения!$C$25:$G$30,MATCH($C22,Допущения!$B$25:$B$30,0),1))</f>
        <v>2400</v>
      </c>
      <c r="F22" s="24" t="n">
        <f aca="false">IF($D22="","",$D22*INDEX(Допущения!$C$25:$G$30,MATCH($C22,Допущения!$B$25:$B$30,0),2))</f>
        <v>2592</v>
      </c>
      <c r="G22" s="24" t="n">
        <f aca="false">IF($D22="","",$D22*INDEX(Допущения!$C$25:$G$30,MATCH($C22,Допущения!$B$25:$B$30,0),3))</f>
        <v>2799.36</v>
      </c>
      <c r="H22" s="24" t="n">
        <f aca="false">IF($D22="","",$D22*INDEX(Допущения!$C$25:$G$30,MATCH($C22,Допущения!$B$25:$B$30,0),4))</f>
        <v>3023.3088</v>
      </c>
      <c r="I22" s="24" t="n">
        <f aca="false">IF($D22="","",$D22*INDEX(Допущения!$C$25:$G$30,MATCH($C22,Допущения!$B$25:$B$30,0),5))</f>
        <v>3265.173504</v>
      </c>
      <c r="J22" s="24" t="n">
        <f aca="false">SUM(E22:I22)</f>
        <v>14079.842304</v>
      </c>
      <c r="K22" s="25"/>
      <c r="L22" s="26" t="s">
        <v>125</v>
      </c>
    </row>
    <row r="23" customFormat="false" ht="15" hidden="false" customHeight="false" outlineLevel="0" collapsed="false">
      <c r="B23" s="11"/>
      <c r="C23" s="23" t="s">
        <v>78</v>
      </c>
      <c r="D23" s="18"/>
      <c r="E23" s="24" t="str">
        <f aca="false">IF($D23="","",$D23*INDEX(Допущения!$C$25:$G$30,MATCH($C23,Допущения!$B$25:$B$30,0),1))</f>
        <v/>
      </c>
      <c r="F23" s="24" t="str">
        <f aca="false">IF($D23="","",$D23*INDEX(Допущения!$C$25:$G$30,MATCH($C23,Допущения!$B$25:$B$30,0),2))</f>
        <v/>
      </c>
      <c r="G23" s="24" t="str">
        <f aca="false">IF($D23="","",$D23*INDEX(Допущения!$C$25:$G$30,MATCH($C23,Допущения!$B$25:$B$30,0),3))</f>
        <v/>
      </c>
      <c r="H23" s="24" t="str">
        <f aca="false">IF($D23="","",$D23*INDEX(Допущения!$C$25:$G$30,MATCH($C23,Допущения!$B$25:$B$30,0),4))</f>
        <v/>
      </c>
      <c r="I23" s="24" t="str">
        <f aca="false">IF($D23="","",$D23*INDEX(Допущения!$C$25:$G$30,MATCH($C23,Допущения!$B$25:$B$30,0),5))</f>
        <v/>
      </c>
      <c r="J23" s="24" t="n">
        <f aca="false">SUM(E23:I23)</f>
        <v>0</v>
      </c>
      <c r="K23" s="25"/>
      <c r="L23" s="26" t="s">
        <v>113</v>
      </c>
    </row>
    <row r="24" customFormat="false" ht="15" hidden="false" customHeight="false" outlineLevel="0" collapsed="false">
      <c r="B24" s="27" t="s">
        <v>114</v>
      </c>
      <c r="C24" s="28"/>
      <c r="D24" s="28"/>
      <c r="E24" s="29" t="n">
        <f aca="false">SUM(E18:E23)</f>
        <v>25200</v>
      </c>
      <c r="F24" s="29" t="n">
        <f aca="false">SUM(F18:F23)</f>
        <v>74520</v>
      </c>
      <c r="G24" s="29" t="n">
        <f aca="false">SUM(G18:G23)</f>
        <v>172497.6</v>
      </c>
      <c r="H24" s="29" t="n">
        <f aca="false">SUM(H18:H23)</f>
        <v>281337.408</v>
      </c>
      <c r="I24" s="29" t="n">
        <f aca="false">SUM(I18:I23)</f>
        <v>390244.40064</v>
      </c>
      <c r="J24" s="29" t="n">
        <f aca="false">SUM(J18:J23)</f>
        <v>943799.40864</v>
      </c>
      <c r="K24" s="30" t="n">
        <f aca="false">IFERROR(J24/$J$51,0)</f>
        <v>0.0165275628601531</v>
      </c>
      <c r="L24" s="28"/>
    </row>
    <row r="26" customFormat="false" ht="15" hidden="false" customHeight="false" outlineLevel="0" collapsed="false">
      <c r="B26" s="8" t="s">
        <v>126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22.35" hidden="false" customHeight="false" outlineLevel="0" collapsed="false">
      <c r="B27" s="11" t="s">
        <v>127</v>
      </c>
      <c r="C27" s="23" t="s">
        <v>88</v>
      </c>
      <c r="D27" s="18" t="n">
        <v>225000</v>
      </c>
      <c r="E27" s="24" t="n">
        <f aca="false">IF($D27="","",$D27*INDEX(Допущения!$C$25:$G$30,MATCH($C27,Допущения!$B$25:$B$30,0),1))</f>
        <v>225000</v>
      </c>
      <c r="F27" s="24" t="n">
        <f aca="false">IF($D27="","",$D27*INDEX(Допущения!$C$25:$G$30,MATCH($C27,Допущения!$B$25:$B$30,0),2))</f>
        <v>1404000</v>
      </c>
      <c r="G27" s="24" t="n">
        <f aca="false">IF($D27="","",$D27*INDEX(Допущения!$C$25:$G$30,MATCH($C27,Допущения!$B$25:$B$30,0),3))</f>
        <v>4860000</v>
      </c>
      <c r="H27" s="24" t="n">
        <f aca="false">IF($D27="","",$D27*INDEX(Допущения!$C$25:$G$30,MATCH($C27,Допущения!$B$25:$B$30,0),4))</f>
        <v>10080000</v>
      </c>
      <c r="I27" s="24" t="n">
        <f aca="false">IF($D27="","",$D27*INDEX(Допущения!$C$25:$G$30,MATCH($C27,Допущения!$B$25:$B$30,0),5))</f>
        <v>15660000</v>
      </c>
      <c r="J27" s="24" t="n">
        <f aca="false">SUM(E27:I27)</f>
        <v>32229000</v>
      </c>
      <c r="K27" s="25"/>
      <c r="L27" s="26" t="s">
        <v>128</v>
      </c>
    </row>
    <row r="28" customFormat="false" ht="15" hidden="false" customHeight="false" outlineLevel="0" collapsed="false">
      <c r="B28" s="11" t="s">
        <v>129</v>
      </c>
      <c r="C28" s="23" t="s">
        <v>86</v>
      </c>
      <c r="D28" s="18" t="n">
        <v>12000</v>
      </c>
      <c r="E28" s="24" t="n">
        <f aca="false">IF($D28="","",$D28*INDEX(Допущения!$C$25:$G$30,MATCH($C28,Допущения!$B$25:$B$30,0),1))</f>
        <v>12000</v>
      </c>
      <c r="F28" s="24" t="n">
        <f aca="false">IF($D28="","",$D28*INDEX(Допущения!$C$25:$G$30,MATCH($C28,Допущения!$B$25:$B$30,0),2))</f>
        <v>72000</v>
      </c>
      <c r="G28" s="24" t="n">
        <f aca="false">IF($D28="","",$D28*INDEX(Допущения!$C$25:$G$30,MATCH($C28,Допущения!$B$25:$B$30,0),3))</f>
        <v>240000</v>
      </c>
      <c r="H28" s="24" t="n">
        <f aca="false">IF($D28="","",$D28*INDEX(Допущения!$C$25:$G$30,MATCH($C28,Допущения!$B$25:$B$30,0),4))</f>
        <v>480000</v>
      </c>
      <c r="I28" s="24" t="n">
        <f aca="false">IF($D28="","",$D28*INDEX(Допущения!$C$25:$G$30,MATCH($C28,Допущения!$B$25:$B$30,0),5))</f>
        <v>720000</v>
      </c>
      <c r="J28" s="24" t="n">
        <f aca="false">SUM(E28:I28)</f>
        <v>1524000</v>
      </c>
      <c r="K28" s="25"/>
      <c r="L28" s="26" t="s">
        <v>130</v>
      </c>
    </row>
    <row r="29" customFormat="false" ht="15" hidden="false" customHeight="false" outlineLevel="0" collapsed="false">
      <c r="B29" s="11" t="s">
        <v>131</v>
      </c>
      <c r="C29" s="23" t="s">
        <v>86</v>
      </c>
      <c r="D29" s="18" t="n">
        <v>9000</v>
      </c>
      <c r="E29" s="24" t="n">
        <f aca="false">IF($D29="","",$D29*INDEX(Допущения!$C$25:$G$30,MATCH($C29,Допущения!$B$25:$B$30,0),1))</f>
        <v>9000</v>
      </c>
      <c r="F29" s="24" t="n">
        <f aca="false">IF($D29="","",$D29*INDEX(Допущения!$C$25:$G$30,MATCH($C29,Допущения!$B$25:$B$30,0),2))</f>
        <v>54000</v>
      </c>
      <c r="G29" s="24" t="n">
        <f aca="false">IF($D29="","",$D29*INDEX(Допущения!$C$25:$G$30,MATCH($C29,Допущения!$B$25:$B$30,0),3))</f>
        <v>180000</v>
      </c>
      <c r="H29" s="24" t="n">
        <f aca="false">IF($D29="","",$D29*INDEX(Допущения!$C$25:$G$30,MATCH($C29,Допущения!$B$25:$B$30,0),4))</f>
        <v>360000</v>
      </c>
      <c r="I29" s="24" t="n">
        <f aca="false">IF($D29="","",$D29*INDEX(Допущения!$C$25:$G$30,MATCH($C29,Допущения!$B$25:$B$30,0),5))</f>
        <v>540000</v>
      </c>
      <c r="J29" s="24" t="n">
        <f aca="false">SUM(E29:I29)</f>
        <v>1143000</v>
      </c>
      <c r="K29" s="25"/>
      <c r="L29" s="26" t="s">
        <v>132</v>
      </c>
    </row>
    <row r="30" customFormat="false" ht="15" hidden="false" customHeight="false" outlineLevel="0" collapsed="false">
      <c r="B30" s="11" t="s">
        <v>133</v>
      </c>
      <c r="C30" s="23" t="s">
        <v>86</v>
      </c>
      <c r="D30" s="18" t="n">
        <v>30000</v>
      </c>
      <c r="E30" s="24" t="n">
        <f aca="false">IF($D30="","",$D30*INDEX(Допущения!$C$25:$G$30,MATCH($C30,Допущения!$B$25:$B$30,0),1))</f>
        <v>30000</v>
      </c>
      <c r="F30" s="24" t="n">
        <f aca="false">IF($D30="","",$D30*INDEX(Допущения!$C$25:$G$30,MATCH($C30,Допущения!$B$25:$B$30,0),2))</f>
        <v>180000</v>
      </c>
      <c r="G30" s="24" t="n">
        <f aca="false">IF($D30="","",$D30*INDEX(Допущения!$C$25:$G$30,MATCH($C30,Допущения!$B$25:$B$30,0),3))</f>
        <v>600000</v>
      </c>
      <c r="H30" s="24" t="n">
        <f aca="false">IF($D30="","",$D30*INDEX(Допущения!$C$25:$G$30,MATCH($C30,Допущения!$B$25:$B$30,0),4))</f>
        <v>1200000</v>
      </c>
      <c r="I30" s="24" t="n">
        <f aca="false">IF($D30="","",$D30*INDEX(Допущения!$C$25:$G$30,MATCH($C30,Допущения!$B$25:$B$30,0),5))</f>
        <v>1800000</v>
      </c>
      <c r="J30" s="24" t="n">
        <f aca="false">SUM(E30:I30)</f>
        <v>3810000</v>
      </c>
      <c r="K30" s="25"/>
      <c r="L30" s="26" t="s">
        <v>134</v>
      </c>
    </row>
    <row r="31" customFormat="false" ht="15" hidden="false" customHeight="false" outlineLevel="0" collapsed="false">
      <c r="B31" s="11"/>
      <c r="C31" s="23" t="s">
        <v>78</v>
      </c>
      <c r="D31" s="18"/>
      <c r="E31" s="24" t="str">
        <f aca="false">IF($D31="","",$D31*INDEX(Допущения!$C$25:$G$30,MATCH($C31,Допущения!$B$25:$B$30,0),1))</f>
        <v/>
      </c>
      <c r="F31" s="24" t="str">
        <f aca="false">IF($D31="","",$D31*INDEX(Допущения!$C$25:$G$30,MATCH($C31,Допущения!$B$25:$B$30,0),2))</f>
        <v/>
      </c>
      <c r="G31" s="24" t="str">
        <f aca="false">IF($D31="","",$D31*INDEX(Допущения!$C$25:$G$30,MATCH($C31,Допущения!$B$25:$B$30,0),3))</f>
        <v/>
      </c>
      <c r="H31" s="24" t="str">
        <f aca="false">IF($D31="","",$D31*INDEX(Допущения!$C$25:$G$30,MATCH($C31,Допущения!$B$25:$B$30,0),4))</f>
        <v/>
      </c>
      <c r="I31" s="24" t="str">
        <f aca="false">IF($D31="","",$D31*INDEX(Допущения!$C$25:$G$30,MATCH($C31,Допущения!$B$25:$B$30,0),5))</f>
        <v/>
      </c>
      <c r="J31" s="24" t="n">
        <f aca="false">SUM(E31:I31)</f>
        <v>0</v>
      </c>
      <c r="K31" s="25"/>
      <c r="L31" s="26" t="s">
        <v>113</v>
      </c>
    </row>
    <row r="32" customFormat="false" ht="15" hidden="false" customHeight="false" outlineLevel="0" collapsed="false">
      <c r="B32" s="27" t="s">
        <v>114</v>
      </c>
      <c r="C32" s="28"/>
      <c r="D32" s="28"/>
      <c r="E32" s="29" t="n">
        <f aca="false">SUM(E27:E31)</f>
        <v>276000</v>
      </c>
      <c r="F32" s="29" t="n">
        <f aca="false">SUM(F27:F31)</f>
        <v>1710000</v>
      </c>
      <c r="G32" s="29" t="n">
        <f aca="false">SUM(G27:G31)</f>
        <v>5880000</v>
      </c>
      <c r="H32" s="29" t="n">
        <f aca="false">SUM(H27:H31)</f>
        <v>12120000</v>
      </c>
      <c r="I32" s="29" t="n">
        <f aca="false">SUM(I27:I31)</f>
        <v>18720000</v>
      </c>
      <c r="J32" s="29" t="n">
        <f aca="false">SUM(J27:J31)</f>
        <v>38706000</v>
      </c>
      <c r="K32" s="30" t="n">
        <f aca="false">IFERROR(J32/$J$51,0)</f>
        <v>0.677809121523934</v>
      </c>
      <c r="L32" s="28"/>
    </row>
    <row r="34" customFormat="false" ht="15" hidden="false" customHeight="false" outlineLevel="0" collapsed="false">
      <c r="B34" s="8" t="s">
        <v>135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customFormat="false" ht="15" hidden="false" customHeight="false" outlineLevel="0" collapsed="false">
      <c r="B35" s="11" t="s">
        <v>136</v>
      </c>
      <c r="C35" s="23" t="s">
        <v>82</v>
      </c>
      <c r="D35" s="18" t="n">
        <v>360000</v>
      </c>
      <c r="E35" s="24" t="n">
        <f aca="false">IF($D35="","",$D35*INDEX(Допущения!$C$25:$G$30,MATCH($C35,Допущения!$B$25:$B$30,0),1))</f>
        <v>360000</v>
      </c>
      <c r="F35" s="24" t="n">
        <f aca="false">IF($D35="","",$D35*INDEX(Допущения!$C$25:$G$30,MATCH($C35,Допущения!$B$25:$B$30,0),2))</f>
        <v>403200</v>
      </c>
      <c r="G35" s="24" t="n">
        <f aca="false">IF($D35="","",$D35*INDEX(Допущения!$C$25:$G$30,MATCH($C35,Допущения!$B$25:$B$30,0),3))</f>
        <v>451584</v>
      </c>
      <c r="H35" s="24" t="n">
        <f aca="false">IF($D35="","",$D35*INDEX(Допущения!$C$25:$G$30,MATCH($C35,Допущения!$B$25:$B$30,0),4))</f>
        <v>505774.08</v>
      </c>
      <c r="I35" s="24" t="n">
        <f aca="false">IF($D35="","",$D35*INDEX(Допущения!$C$25:$G$30,MATCH($C35,Допущения!$B$25:$B$30,0),5))</f>
        <v>566466.9696</v>
      </c>
      <c r="J35" s="24" t="n">
        <f aca="false">SUM(E35:I35)</f>
        <v>2287025.0496</v>
      </c>
      <c r="K35" s="25"/>
      <c r="L35" s="26" t="s">
        <v>137</v>
      </c>
    </row>
    <row r="36" customFormat="false" ht="15" hidden="false" customHeight="false" outlineLevel="0" collapsed="false">
      <c r="B36" s="11" t="s">
        <v>138</v>
      </c>
      <c r="C36" s="23" t="s">
        <v>82</v>
      </c>
      <c r="D36" s="18" t="n">
        <v>120000</v>
      </c>
      <c r="E36" s="24" t="n">
        <f aca="false">IF($D36="","",$D36*INDEX(Допущения!$C$25:$G$30,MATCH($C36,Допущения!$B$25:$B$30,0),1))</f>
        <v>120000</v>
      </c>
      <c r="F36" s="24" t="n">
        <f aca="false">IF($D36="","",$D36*INDEX(Допущения!$C$25:$G$30,MATCH($C36,Допущения!$B$25:$B$30,0),2))</f>
        <v>134400</v>
      </c>
      <c r="G36" s="24" t="n">
        <f aca="false">IF($D36="","",$D36*INDEX(Допущения!$C$25:$G$30,MATCH($C36,Допущения!$B$25:$B$30,0),3))</f>
        <v>150528</v>
      </c>
      <c r="H36" s="24" t="n">
        <f aca="false">IF($D36="","",$D36*INDEX(Допущения!$C$25:$G$30,MATCH($C36,Допущения!$B$25:$B$30,0),4))</f>
        <v>168591.36</v>
      </c>
      <c r="I36" s="24" t="n">
        <f aca="false">IF($D36="","",$D36*INDEX(Допущения!$C$25:$G$30,MATCH($C36,Допущения!$B$25:$B$30,0),5))</f>
        <v>188822.3232</v>
      </c>
      <c r="J36" s="24" t="n">
        <f aca="false">SUM(E36:I36)</f>
        <v>762341.6832</v>
      </c>
      <c r="K36" s="25"/>
      <c r="L36" s="26" t="s">
        <v>139</v>
      </c>
    </row>
    <row r="37" customFormat="false" ht="15" hidden="false" customHeight="false" outlineLevel="0" collapsed="false">
      <c r="B37" s="11" t="s">
        <v>140</v>
      </c>
      <c r="C37" s="23" t="s">
        <v>82</v>
      </c>
      <c r="D37" s="18" t="n">
        <v>96000</v>
      </c>
      <c r="E37" s="24" t="n">
        <f aca="false">IF($D37="","",$D37*INDEX(Допущения!$C$25:$G$30,MATCH($C37,Допущения!$B$25:$B$30,0),1))</f>
        <v>96000</v>
      </c>
      <c r="F37" s="24" t="n">
        <f aca="false">IF($D37="","",$D37*INDEX(Допущения!$C$25:$G$30,MATCH($C37,Допущения!$B$25:$B$30,0),2))</f>
        <v>107520</v>
      </c>
      <c r="G37" s="24" t="n">
        <f aca="false">IF($D37="","",$D37*INDEX(Допущения!$C$25:$G$30,MATCH($C37,Допущения!$B$25:$B$30,0),3))</f>
        <v>120422.4</v>
      </c>
      <c r="H37" s="24" t="n">
        <f aca="false">IF($D37="","",$D37*INDEX(Допущения!$C$25:$G$30,MATCH($C37,Допущения!$B$25:$B$30,0),4))</f>
        <v>134873.088</v>
      </c>
      <c r="I37" s="24" t="n">
        <f aca="false">IF($D37="","",$D37*INDEX(Допущения!$C$25:$G$30,MATCH($C37,Допущения!$B$25:$B$30,0),5))</f>
        <v>151057.85856</v>
      </c>
      <c r="J37" s="24" t="n">
        <f aca="false">SUM(E37:I37)</f>
        <v>609873.34656</v>
      </c>
      <c r="K37" s="25"/>
      <c r="L37" s="26" t="s">
        <v>141</v>
      </c>
    </row>
    <row r="38" customFormat="false" ht="15" hidden="false" customHeight="false" outlineLevel="0" collapsed="false">
      <c r="B38" s="11" t="s">
        <v>142</v>
      </c>
      <c r="C38" s="23" t="s">
        <v>82</v>
      </c>
      <c r="D38" s="18" t="n">
        <v>150000</v>
      </c>
      <c r="E38" s="24" t="n">
        <f aca="false">IF($D38="","",$D38*INDEX(Допущения!$C$25:$G$30,MATCH($C38,Допущения!$B$25:$B$30,0),1))</f>
        <v>150000</v>
      </c>
      <c r="F38" s="24" t="n">
        <f aca="false">IF($D38="","",$D38*INDEX(Допущения!$C$25:$G$30,MATCH($C38,Допущения!$B$25:$B$30,0),2))</f>
        <v>168000</v>
      </c>
      <c r="G38" s="24" t="n">
        <f aca="false">IF($D38="","",$D38*INDEX(Допущения!$C$25:$G$30,MATCH($C38,Допущения!$B$25:$B$30,0),3))</f>
        <v>188160</v>
      </c>
      <c r="H38" s="24" t="n">
        <f aca="false">IF($D38="","",$D38*INDEX(Допущения!$C$25:$G$30,MATCH($C38,Допущения!$B$25:$B$30,0),4))</f>
        <v>210739.2</v>
      </c>
      <c r="I38" s="24" t="n">
        <f aca="false">IF($D38="","",$D38*INDEX(Допущения!$C$25:$G$30,MATCH($C38,Допущения!$B$25:$B$30,0),5))</f>
        <v>236027.904</v>
      </c>
      <c r="J38" s="24" t="n">
        <f aca="false">SUM(E38:I38)</f>
        <v>952927.104</v>
      </c>
      <c r="K38" s="25"/>
      <c r="L38" s="26" t="s">
        <v>143</v>
      </c>
    </row>
    <row r="39" customFormat="false" ht="15" hidden="false" customHeight="false" outlineLevel="0" collapsed="false">
      <c r="B39" s="11"/>
      <c r="C39" s="23" t="s">
        <v>78</v>
      </c>
      <c r="D39" s="18"/>
      <c r="E39" s="24" t="str">
        <f aca="false">IF($D39="","",$D39*INDEX(Допущения!$C$25:$G$30,MATCH($C39,Допущения!$B$25:$B$30,0),1))</f>
        <v/>
      </c>
      <c r="F39" s="24" t="str">
        <f aca="false">IF($D39="","",$D39*INDEX(Допущения!$C$25:$G$30,MATCH($C39,Допущения!$B$25:$B$30,0),2))</f>
        <v/>
      </c>
      <c r="G39" s="24" t="str">
        <f aca="false">IF($D39="","",$D39*INDEX(Допущения!$C$25:$G$30,MATCH($C39,Допущения!$B$25:$B$30,0),3))</f>
        <v/>
      </c>
      <c r="H39" s="24" t="str">
        <f aca="false">IF($D39="","",$D39*INDEX(Допущения!$C$25:$G$30,MATCH($C39,Допущения!$B$25:$B$30,0),4))</f>
        <v/>
      </c>
      <c r="I39" s="24" t="str">
        <f aca="false">IF($D39="","",$D39*INDEX(Допущения!$C$25:$G$30,MATCH($C39,Допущения!$B$25:$B$30,0),5))</f>
        <v/>
      </c>
      <c r="J39" s="24" t="n">
        <f aca="false">SUM(E39:I39)</f>
        <v>0</v>
      </c>
      <c r="K39" s="25"/>
      <c r="L39" s="26" t="s">
        <v>113</v>
      </c>
    </row>
    <row r="40" customFormat="false" ht="15" hidden="false" customHeight="false" outlineLevel="0" collapsed="false">
      <c r="B40" s="27" t="s">
        <v>114</v>
      </c>
      <c r="C40" s="28"/>
      <c r="D40" s="28"/>
      <c r="E40" s="29" t="n">
        <f aca="false">SUM(E35:E39)</f>
        <v>726000</v>
      </c>
      <c r="F40" s="29" t="n">
        <f aca="false">SUM(F35:F39)</f>
        <v>813120</v>
      </c>
      <c r="G40" s="29" t="n">
        <f aca="false">SUM(G35:G39)</f>
        <v>910694.4</v>
      </c>
      <c r="H40" s="29" t="n">
        <f aca="false">SUM(H35:H39)</f>
        <v>1019977.728</v>
      </c>
      <c r="I40" s="29" t="n">
        <f aca="false">SUM(I35:I39)</f>
        <v>1142375.05536</v>
      </c>
      <c r="J40" s="29" t="n">
        <f aca="false">SUM(J35:J39)</f>
        <v>4612167.18336</v>
      </c>
      <c r="K40" s="30" t="n">
        <f aca="false">IFERROR(J40/$J$51,0)</f>
        <v>0.0807670383629091</v>
      </c>
      <c r="L40" s="28"/>
    </row>
    <row r="42" customFormat="false" ht="15" hidden="false" customHeight="false" outlineLevel="0" collapsed="false">
      <c r="B42" s="8" t="s">
        <v>144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customFormat="false" ht="15" hidden="false" customHeight="false" outlineLevel="0" collapsed="false">
      <c r="B43" s="11" t="s">
        <v>145</v>
      </c>
      <c r="C43" s="23" t="s">
        <v>78</v>
      </c>
      <c r="D43" s="18" t="n">
        <v>25000</v>
      </c>
      <c r="E43" s="24" t="n">
        <f aca="false">IF($D43="","",$D43*INDEX(Допущения!$C$25:$G$30,MATCH($C43,Допущения!$B$25:$B$30,0),1))</f>
        <v>25000</v>
      </c>
      <c r="F43" s="24" t="n">
        <f aca="false">IF($D43="","",$D43*INDEX(Допущения!$C$25:$G$30,MATCH($C43,Допущения!$B$25:$B$30,0),2))</f>
        <v>25000</v>
      </c>
      <c r="G43" s="24" t="n">
        <f aca="false">IF($D43="","",$D43*INDEX(Допущения!$C$25:$G$30,MATCH($C43,Допущения!$B$25:$B$30,0),3))</f>
        <v>25000</v>
      </c>
      <c r="H43" s="24" t="n">
        <f aca="false">IF($D43="","",$D43*INDEX(Допущения!$C$25:$G$30,MATCH($C43,Допущения!$B$25:$B$30,0),4))</f>
        <v>25000</v>
      </c>
      <c r="I43" s="24" t="n">
        <f aca="false">IF($D43="","",$D43*INDEX(Допущения!$C$25:$G$30,MATCH($C43,Допущения!$B$25:$B$30,0),5))</f>
        <v>25000</v>
      </c>
      <c r="J43" s="24" t="n">
        <f aca="false">SUM(E43:I43)</f>
        <v>125000</v>
      </c>
      <c r="K43" s="25"/>
      <c r="L43" s="26" t="s">
        <v>146</v>
      </c>
    </row>
    <row r="44" customFormat="false" ht="15" hidden="false" customHeight="false" outlineLevel="0" collapsed="false">
      <c r="B44" s="11" t="s">
        <v>147</v>
      </c>
      <c r="C44" s="23" t="s">
        <v>80</v>
      </c>
      <c r="D44" s="18" t="n">
        <v>15000</v>
      </c>
      <c r="E44" s="24" t="n">
        <f aca="false">IF($D44="","",$D44*INDEX(Допущения!$C$25:$G$30,MATCH($C44,Допущения!$B$25:$B$30,0),1))</f>
        <v>15000</v>
      </c>
      <c r="F44" s="24" t="n">
        <f aca="false">IF($D44="","",$D44*INDEX(Допущения!$C$25:$G$30,MATCH($C44,Допущения!$B$25:$B$30,0),2))</f>
        <v>16200</v>
      </c>
      <c r="G44" s="24" t="n">
        <f aca="false">IF($D44="","",$D44*INDEX(Допущения!$C$25:$G$30,MATCH($C44,Допущения!$B$25:$B$30,0),3))</f>
        <v>17496</v>
      </c>
      <c r="H44" s="24" t="n">
        <f aca="false">IF($D44="","",$D44*INDEX(Допущения!$C$25:$G$30,MATCH($C44,Допущения!$B$25:$B$30,0),4))</f>
        <v>18895.68</v>
      </c>
      <c r="I44" s="24" t="n">
        <f aca="false">IF($D44="","",$D44*INDEX(Допущения!$C$25:$G$30,MATCH($C44,Допущения!$B$25:$B$30,0),5))</f>
        <v>20407.3344</v>
      </c>
      <c r="J44" s="24" t="n">
        <f aca="false">SUM(E44:I44)</f>
        <v>87999.0144</v>
      </c>
      <c r="K44" s="25"/>
      <c r="L44" s="26" t="s">
        <v>148</v>
      </c>
    </row>
    <row r="45" customFormat="false" ht="15" hidden="false" customHeight="false" outlineLevel="0" collapsed="false">
      <c r="B45" s="11" t="s">
        <v>149</v>
      </c>
      <c r="C45" s="23" t="s">
        <v>78</v>
      </c>
      <c r="D45" s="18" t="n">
        <v>20000</v>
      </c>
      <c r="E45" s="24" t="n">
        <f aca="false">IF($D45="","",$D45*INDEX(Допущения!$C$25:$G$30,MATCH($C45,Допущения!$B$25:$B$30,0),1))</f>
        <v>20000</v>
      </c>
      <c r="F45" s="24" t="n">
        <f aca="false">IF($D45="","",$D45*INDEX(Допущения!$C$25:$G$30,MATCH($C45,Допущения!$B$25:$B$30,0),2))</f>
        <v>20000</v>
      </c>
      <c r="G45" s="24" t="n">
        <f aca="false">IF($D45="","",$D45*INDEX(Допущения!$C$25:$G$30,MATCH($C45,Допущения!$B$25:$B$30,0),3))</f>
        <v>20000</v>
      </c>
      <c r="H45" s="24" t="n">
        <f aca="false">IF($D45="","",$D45*INDEX(Допущения!$C$25:$G$30,MATCH($C45,Допущения!$B$25:$B$30,0),4))</f>
        <v>20000</v>
      </c>
      <c r="I45" s="24" t="n">
        <f aca="false">IF($D45="","",$D45*INDEX(Допущения!$C$25:$G$30,MATCH($C45,Допущения!$B$25:$B$30,0),5))</f>
        <v>20000</v>
      </c>
      <c r="J45" s="24" t="n">
        <f aca="false">SUM(E45:I45)</f>
        <v>100000</v>
      </c>
      <c r="K45" s="25"/>
      <c r="L45" s="26" t="s">
        <v>150</v>
      </c>
    </row>
    <row r="46" customFormat="false" ht="15" hidden="false" customHeight="false" outlineLevel="0" collapsed="false">
      <c r="B46" s="11" t="s">
        <v>151</v>
      </c>
      <c r="C46" s="23" t="s">
        <v>82</v>
      </c>
      <c r="D46" s="18" t="n">
        <v>30000</v>
      </c>
      <c r="E46" s="24" t="n">
        <f aca="false">IF($D46="","",$D46*INDEX(Допущения!$C$25:$G$30,MATCH($C46,Допущения!$B$25:$B$30,0),1))</f>
        <v>30000</v>
      </c>
      <c r="F46" s="24" t="n">
        <f aca="false">IF($D46="","",$D46*INDEX(Допущения!$C$25:$G$30,MATCH($C46,Допущения!$B$25:$B$30,0),2))</f>
        <v>33600</v>
      </c>
      <c r="G46" s="24" t="n">
        <f aca="false">IF($D46="","",$D46*INDEX(Допущения!$C$25:$G$30,MATCH($C46,Допущения!$B$25:$B$30,0),3))</f>
        <v>37632</v>
      </c>
      <c r="H46" s="24" t="n">
        <f aca="false">IF($D46="","",$D46*INDEX(Допущения!$C$25:$G$30,MATCH($C46,Допущения!$B$25:$B$30,0),4))</f>
        <v>42147.84</v>
      </c>
      <c r="I46" s="24" t="n">
        <f aca="false">IF($D46="","",$D46*INDEX(Допущения!$C$25:$G$30,MATCH($C46,Допущения!$B$25:$B$30,0),5))</f>
        <v>47205.5808</v>
      </c>
      <c r="J46" s="24" t="n">
        <f aca="false">SUM(E46:I46)</f>
        <v>190585.4208</v>
      </c>
      <c r="K46" s="25"/>
      <c r="L46" s="26" t="s">
        <v>152</v>
      </c>
    </row>
    <row r="47" customFormat="false" ht="15" hidden="false" customHeight="false" outlineLevel="0" collapsed="false">
      <c r="B47" s="11"/>
      <c r="C47" s="23" t="s">
        <v>78</v>
      </c>
      <c r="D47" s="18"/>
      <c r="E47" s="24" t="str">
        <f aca="false">IF($D47="","",$D47*INDEX(Допущения!$C$25:$G$30,MATCH($C47,Допущения!$B$25:$B$30,0),1))</f>
        <v/>
      </c>
      <c r="F47" s="24" t="str">
        <f aca="false">IF($D47="","",$D47*INDEX(Допущения!$C$25:$G$30,MATCH($C47,Допущения!$B$25:$B$30,0),2))</f>
        <v/>
      </c>
      <c r="G47" s="24" t="str">
        <f aca="false">IF($D47="","",$D47*INDEX(Допущения!$C$25:$G$30,MATCH($C47,Допущения!$B$25:$B$30,0),3))</f>
        <v/>
      </c>
      <c r="H47" s="24" t="str">
        <f aca="false">IF($D47="","",$D47*INDEX(Допущения!$C$25:$G$30,MATCH($C47,Допущения!$B$25:$B$30,0),4))</f>
        <v/>
      </c>
      <c r="I47" s="24" t="str">
        <f aca="false">IF($D47="","",$D47*INDEX(Допущения!$C$25:$G$30,MATCH($C47,Допущения!$B$25:$B$30,0),5))</f>
        <v/>
      </c>
      <c r="J47" s="24" t="n">
        <f aca="false">SUM(E47:I47)</f>
        <v>0</v>
      </c>
      <c r="K47" s="25"/>
      <c r="L47" s="26" t="s">
        <v>113</v>
      </c>
    </row>
    <row r="48" customFormat="false" ht="15" hidden="false" customHeight="false" outlineLevel="0" collapsed="false">
      <c r="B48" s="27" t="s">
        <v>114</v>
      </c>
      <c r="C48" s="28"/>
      <c r="D48" s="28"/>
      <c r="E48" s="29" t="n">
        <f aca="false">SUM(E43:E47)</f>
        <v>90000</v>
      </c>
      <c r="F48" s="29" t="n">
        <f aca="false">SUM(F43:F47)</f>
        <v>94800</v>
      </c>
      <c r="G48" s="29" t="n">
        <f aca="false">SUM(G43:G47)</f>
        <v>100128</v>
      </c>
      <c r="H48" s="29" t="n">
        <f aca="false">SUM(H43:H47)</f>
        <v>106043.52</v>
      </c>
      <c r="I48" s="29" t="n">
        <f aca="false">SUM(I43:I47)</f>
        <v>112612.9152</v>
      </c>
      <c r="J48" s="29" t="n">
        <f aca="false">SUM(J43:J47)</f>
        <v>503584.4352</v>
      </c>
      <c r="K48" s="30" t="n">
        <f aca="false">IFERROR(J48/$J$51,0)</f>
        <v>0.00881863596434761</v>
      </c>
      <c r="L48" s="28"/>
    </row>
    <row r="50" customFormat="false" ht="15" hidden="false" customHeight="false" outlineLevel="0" collapsed="false">
      <c r="B50" s="15" t="s">
        <v>153</v>
      </c>
      <c r="E50" s="31" t="n">
        <f aca="false">(E15+E24+E32+E40+E48)*Допущения!$C$17</f>
        <v>183330</v>
      </c>
      <c r="F50" s="31" t="n">
        <f aca="false">(F15+F24+F32+F40+F48)*Допущения!$C$17</f>
        <v>458982</v>
      </c>
      <c r="G50" s="31" t="n">
        <f aca="false">(G15+G24+G32+G40+G48)*Допущения!$C$17</f>
        <v>1193147.28</v>
      </c>
      <c r="H50" s="31" t="n">
        <f aca="false">(H15+H24+H32+H40+H48)*Допущения!$C$17</f>
        <v>2250005.0208</v>
      </c>
      <c r="I50" s="31" t="n">
        <f aca="false">(I15+I24+I32+I40+I48)*Допущения!$C$17</f>
        <v>3362958.175872</v>
      </c>
      <c r="J50" s="24" t="n">
        <f aca="false">SUM(E50:I50)</f>
        <v>7448422.476672</v>
      </c>
      <c r="L50" s="7" t="s">
        <v>154</v>
      </c>
    </row>
    <row r="51" customFormat="false" ht="15" hidden="false" customHeight="false" outlineLevel="0" collapsed="false">
      <c r="B51" s="27" t="s">
        <v>155</v>
      </c>
      <c r="E51" s="29" t="n">
        <f aca="false">E15+E24+E32+E40+E48+E50</f>
        <v>1405530</v>
      </c>
      <c r="F51" s="29" t="n">
        <f aca="false">F15+F24+F32+F40+F48+F50</f>
        <v>3518862</v>
      </c>
      <c r="G51" s="29" t="n">
        <f aca="false">G15+G24+G32+G40+G48+G50</f>
        <v>9147462.48</v>
      </c>
      <c r="H51" s="29" t="n">
        <f aca="false">H15+H24+H32+H40+H48+H50</f>
        <v>17250038.4928</v>
      </c>
      <c r="I51" s="29" t="n">
        <f aca="false">I15+I24+I32+I40+I48+I50</f>
        <v>25782679.348352</v>
      </c>
      <c r="J51" s="29" t="n">
        <f aca="false">SUM(E51:I51)</f>
        <v>57104572.321152</v>
      </c>
    </row>
    <row r="52" customFormat="false" ht="15" hidden="false" customHeight="false" outlineLevel="0" collapsed="false">
      <c r="B52" s="8" t="s">
        <v>156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customFormat="false" ht="32.8" hidden="false" customHeight="false" outlineLevel="0" collapsed="false">
      <c r="B53" s="11" t="s">
        <v>157</v>
      </c>
      <c r="E53" s="31" t="n">
        <f aca="false">(1-Допущения!$C$20)*525600*Допущения!$C$19*Допущения!$C$21</f>
        <v>630719.999999931</v>
      </c>
      <c r="F53" s="31" t="n">
        <f aca="false">(1-Допущения!$C$20)*525600*Допущения!$C$19*Допущения!$C$21</f>
        <v>630719.999999931</v>
      </c>
      <c r="G53" s="31" t="n">
        <f aca="false">(1-Допущения!$C$20)*525600*Допущения!$C$19*Допущения!$C$21</f>
        <v>630719.999999931</v>
      </c>
      <c r="H53" s="31" t="n">
        <f aca="false">(1-Допущения!$C$20)*525600*Допущения!$C$19*Допущения!$C$21</f>
        <v>630719.999999931</v>
      </c>
      <c r="I53" s="31" t="n">
        <f aca="false">(1-Допущения!$C$20)*525600*Допущения!$C$19*Допущения!$C$21</f>
        <v>630719.999999931</v>
      </c>
      <c r="J53" s="24" t="n">
        <f aca="false">SUM(E53:I53)</f>
        <v>3153599.99999965</v>
      </c>
      <c r="L53" s="13" t="s">
        <v>158</v>
      </c>
    </row>
    <row r="54" customFormat="false" ht="15" hidden="false" customHeight="false" outlineLevel="0" collapsed="false">
      <c r="B54" s="27" t="s">
        <v>159</v>
      </c>
      <c r="E54" s="29" t="n">
        <f aca="false">E51+E53</f>
        <v>2036249.99999993</v>
      </c>
      <c r="F54" s="29" t="n">
        <f aca="false">F51+F53</f>
        <v>4149581.99999993</v>
      </c>
      <c r="G54" s="29" t="n">
        <f aca="false">G51+G53</f>
        <v>9778182.47999993</v>
      </c>
      <c r="H54" s="29" t="n">
        <f aca="false">H51+H53</f>
        <v>17880758.4927999</v>
      </c>
      <c r="I54" s="29" t="n">
        <f aca="false">I51+I53</f>
        <v>26413399.3483519</v>
      </c>
      <c r="J54" s="29" t="n">
        <f aca="false">SUM(E54:I54)</f>
        <v>60258172.3211516</v>
      </c>
    </row>
    <row r="55" customFormat="false" ht="15" hidden="false" customHeight="false" outlineLevel="0" collapsed="false">
      <c r="B55" s="11" t="s">
        <v>160</v>
      </c>
      <c r="E55" s="32" t="n">
        <f aca="false">1/(1+Допущения!$C$16)^0</f>
        <v>1</v>
      </c>
      <c r="F55" s="32" t="n">
        <f aca="false">1/(1+Допущения!$C$16)^1</f>
        <v>0.833333333333333</v>
      </c>
      <c r="G55" s="32" t="n">
        <f aca="false">1/(1+Допущения!$C$16)^2</f>
        <v>0.694444444444444</v>
      </c>
      <c r="H55" s="32" t="n">
        <f aca="false">1/(1+Допущения!$C$16)^3</f>
        <v>0.578703703703704</v>
      </c>
      <c r="I55" s="32" t="n">
        <f aca="false">1/(1+Допущения!$C$16)^4</f>
        <v>0.482253086419753</v>
      </c>
    </row>
    <row r="56" customFormat="false" ht="15" hidden="false" customHeight="false" outlineLevel="0" collapsed="false">
      <c r="B56" s="27" t="s">
        <v>161</v>
      </c>
      <c r="E56" s="29" t="n">
        <f aca="false">E54*E55</f>
        <v>2036249.99999993</v>
      </c>
      <c r="F56" s="29" t="n">
        <f aca="false">F54*F55</f>
        <v>3457984.99999994</v>
      </c>
      <c r="G56" s="29" t="n">
        <f aca="false">G54*G55</f>
        <v>6790404.49999995</v>
      </c>
      <c r="H56" s="29" t="n">
        <f aca="false">H54*H55</f>
        <v>10347661.1648148</v>
      </c>
      <c r="I56" s="29" t="n">
        <f aca="false">I54*I55</f>
        <v>12737943.3585802</v>
      </c>
      <c r="J56" s="29" t="n">
        <f aca="false">SUM(E56:I56)</f>
        <v>35370244.0233948</v>
      </c>
    </row>
    <row r="58" customFormat="false" ht="15" hidden="false" customHeight="false" outlineLevel="0" collapsed="false">
      <c r="B58" s="8" t="s">
        <v>162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customFormat="false" ht="15" hidden="false" customHeight="false" outlineLevel="0" collapsed="false">
      <c r="B59" s="15" t="s">
        <v>163</v>
      </c>
      <c r="E59" s="33" t="n">
        <f aca="false">J51</f>
        <v>57104572.321152</v>
      </c>
      <c r="F59" s="33"/>
      <c r="L59" s="13" t="s">
        <v>164</v>
      </c>
    </row>
    <row r="60" customFormat="false" ht="15" hidden="false" customHeight="false" outlineLevel="0" collapsed="false">
      <c r="B60" s="15" t="s">
        <v>165</v>
      </c>
      <c r="E60" s="33" t="n">
        <f aca="false">J54</f>
        <v>60258172.3211516</v>
      </c>
      <c r="F60" s="33"/>
      <c r="L60" s="13" t="s">
        <v>166</v>
      </c>
    </row>
    <row r="61" customFormat="false" ht="15" hidden="false" customHeight="false" outlineLevel="0" collapsed="false">
      <c r="B61" s="15" t="s">
        <v>167</v>
      </c>
      <c r="E61" s="33" t="n">
        <f aca="false">J56</f>
        <v>35370244.0233948</v>
      </c>
      <c r="F61" s="33"/>
      <c r="L61" s="13" t="s">
        <v>168</v>
      </c>
    </row>
    <row r="62" customFormat="false" ht="15" hidden="false" customHeight="false" outlineLevel="0" collapsed="false">
      <c r="B62" s="15" t="s">
        <v>169</v>
      </c>
      <c r="E62" s="33" t="n">
        <f aca="false">J51/5</f>
        <v>11420914.4642304</v>
      </c>
      <c r="F62" s="33"/>
      <c r="L62" s="13" t="s">
        <v>170</v>
      </c>
    </row>
    <row r="63" customFormat="false" ht="15" hidden="false" customHeight="false" outlineLevel="0" collapsed="false">
      <c r="B63" s="15" t="s">
        <v>171</v>
      </c>
      <c r="E63" s="33" t="n">
        <f aca="false">E15/12</f>
        <v>8750</v>
      </c>
      <c r="F63" s="33"/>
      <c r="L63" s="13" t="s">
        <v>172</v>
      </c>
    </row>
    <row r="64" customFormat="false" ht="15" hidden="false" customHeight="false" outlineLevel="0" collapsed="false">
      <c r="B64" s="15" t="s">
        <v>173</v>
      </c>
      <c r="E64" s="34" t="str">
        <f aca="false">IF(E15/12&lt;=Допущения!$C$18,"В бюджете CFO","ПРЕВЫШЕНИЕ бюджета")</f>
        <v>В бюджете CFO</v>
      </c>
      <c r="F64" s="34"/>
      <c r="L64" s="13" t="s">
        <v>174</v>
      </c>
    </row>
    <row r="65" customFormat="false" ht="15" hidden="false" customHeight="false" outlineLevel="0" collapsed="false">
      <c r="B65" s="15" t="s">
        <v>175</v>
      </c>
      <c r="E65" s="35" t="n">
        <f aca="false">IFERROR(J51/SUM(Допущения!$C$8:$G$8),0)</f>
        <v>1.49880767247118</v>
      </c>
      <c r="F65" s="35"/>
      <c r="L65" s="13" t="s">
        <v>176</v>
      </c>
    </row>
    <row r="66" customFormat="false" ht="15" hidden="false" customHeight="false" outlineLevel="0" collapsed="false">
      <c r="B66" s="15" t="s">
        <v>177</v>
      </c>
      <c r="E66" s="35" t="n">
        <f aca="false">IFERROR(I51/Допущения!$G$7,0)</f>
        <v>7.36647981381486</v>
      </c>
      <c r="F66" s="35"/>
      <c r="L66" s="13" t="s">
        <v>178</v>
      </c>
    </row>
    <row r="67" customFormat="false" ht="15" hidden="false" customHeight="false" outlineLevel="0" collapsed="false">
      <c r="B67" s="15" t="s">
        <v>179</v>
      </c>
      <c r="E67" s="36" t="n">
        <f aca="false">IFERROR(J51/SUM(Допущения!$C$10:$G$10),0)</f>
        <v>0.0531551450443563</v>
      </c>
      <c r="F67" s="36"/>
      <c r="L67" s="13" t="s">
        <v>180</v>
      </c>
    </row>
    <row r="68" customFormat="false" ht="15" hidden="false" customHeight="false" outlineLevel="0" collapsed="false">
      <c r="B68" s="15" t="s">
        <v>181</v>
      </c>
      <c r="E68" s="37" t="n">
        <f aca="false">IFERROR(J15/J51,0)</f>
        <v>0.0856428586799604</v>
      </c>
      <c r="F68" s="37"/>
      <c r="L68" s="13" t="s">
        <v>182</v>
      </c>
    </row>
    <row r="69" customFormat="false" ht="15" hidden="false" customHeight="false" outlineLevel="0" collapsed="false">
      <c r="B69" s="15" t="s">
        <v>183</v>
      </c>
      <c r="E69" s="37" t="n">
        <f aca="false">IFERROR(J32/J51,0)</f>
        <v>0.677809121523934</v>
      </c>
      <c r="F69" s="37"/>
      <c r="L69" s="13" t="s">
        <v>184</v>
      </c>
    </row>
    <row r="70" customFormat="false" ht="15" hidden="false" customHeight="false" outlineLevel="0" collapsed="false">
      <c r="B70" s="15" t="s">
        <v>185</v>
      </c>
      <c r="E70" s="37" t="n">
        <f aca="false">IFERROR(J40/J51,0)</f>
        <v>0.0807670383629091</v>
      </c>
      <c r="F70" s="37"/>
      <c r="L70" s="13" t="s">
        <v>186</v>
      </c>
    </row>
    <row r="72" customFormat="false" ht="15" hidden="false" customHeight="false" outlineLevel="0" collapsed="false">
      <c r="B72" s="38" t="s">
        <v>187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</row>
    <row r="73" customFormat="false" ht="15" hidden="false" customHeight="true" outlineLevel="0" collapsed="false">
      <c r="B73" s="39" t="s">
        <v>188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customFormat="false" ht="15" hidden="false" customHeight="false" outlineLevel="0" collapsed="false"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customFormat="false" ht="15" hidden="false" customHeight="false" outlineLevel="0" collapsed="false"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</row>
  </sheetData>
  <mergeCells count="14"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B72:L72"/>
    <mergeCell ref="B73:L75"/>
  </mergeCells>
  <dataValidations count="1">
    <dataValidation allowBlank="true" errorStyle="stop" operator="between" showDropDown="false" showErrorMessage="false" showInputMessage="false" sqref="C6:C51" type="list">
      <formula1>"фикс,инфляция,ФОТ,пользователи,заказы,GMV"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2026-08-24T07:50:39Z</dcterms:created>
  <dc:creator>openpyxl</dc:creator>
  <dc:description/>
  <dc:language>en-US</dc:language>
  <cp:lastModifiedBy/>
  <dcterms:modified xsi:type="dcterms:W3CDTF">2026-08-24T07:50:39Z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